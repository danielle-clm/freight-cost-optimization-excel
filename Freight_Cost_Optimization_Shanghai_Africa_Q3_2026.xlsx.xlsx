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massa\Downloads\"/>
    </mc:Choice>
  </mc:AlternateContent>
  <xr:revisionPtr revIDLastSave="0" documentId="13_ncr:1_{6EF1A670-AAB6-4839-9177-0FD0352B3CE0}" xr6:coauthVersionLast="47" xr6:coauthVersionMax="47" xr10:uidLastSave="{00000000-0000-0000-0000-000000000000}"/>
  <bookViews>
    <workbookView xWindow="-110" yWindow="-110" windowWidth="19420" windowHeight="10420" firstSheet="3" activeTab="7" xr2:uid="{5821EFB2-DAF7-4E96-A984-FAAFBADC0AEA}"/>
  </bookViews>
  <sheets>
    <sheet name="Data_Input" sheetId="1" r:id="rId1"/>
    <sheet name="Solver_v1" sheetId="3" r:id="rId2"/>
    <sheet name="Cost_Calculator_v1" sheetId="2" r:id="rId3"/>
    <sheet name="Solver_v2" sheetId="6" r:id="rId4"/>
    <sheet name="Cost_Calculator_v2" sheetId="8" r:id="rId5"/>
    <sheet name="Dashboard" sheetId="4" r:id="rId6"/>
    <sheet name="Charts_Data" sheetId="7" r:id="rId7"/>
    <sheet name="Insights" sheetId="9" r:id="rId8"/>
    <sheet name="Sources" sheetId="5" r:id="rId9"/>
  </sheets>
  <definedNames>
    <definedName name="solver_adj" localSheetId="2" hidden="1">Cost_Calculator_v1!$H$2:$H$16</definedName>
    <definedName name="solver_adj" localSheetId="4" hidden="1">Cost_Calculator_v2!$H$2:$H$16</definedName>
    <definedName name="solver_cvg" localSheetId="2" hidden="1">0.0001</definedName>
    <definedName name="solver_cvg" localSheetId="4" hidden="1">0.0001</definedName>
    <definedName name="solver_drv" localSheetId="2" hidden="1">1</definedName>
    <definedName name="solver_drv" localSheetId="4" hidden="1">1</definedName>
    <definedName name="solver_eng" localSheetId="2" hidden="1">2</definedName>
    <definedName name="solver_eng" localSheetId="4" hidden="1">2</definedName>
    <definedName name="solver_eng" localSheetId="1" hidden="1">1</definedName>
    <definedName name="solver_est" localSheetId="2" hidden="1">1</definedName>
    <definedName name="solver_est" localSheetId="4" hidden="1">1</definedName>
    <definedName name="solver_itr" localSheetId="2" hidden="1">2147483647</definedName>
    <definedName name="solver_itr" localSheetId="4" hidden="1">2147483647</definedName>
    <definedName name="solver_lhs1" localSheetId="2" hidden="1">Cost_Calculator_v1!$B$19</definedName>
    <definedName name="solver_lhs1" localSheetId="4" hidden="1">Cost_Calculator_v2!$B$19</definedName>
    <definedName name="solver_lhs2" localSheetId="4" hidden="1">Cost_Calculator_v2!$L$2</definedName>
    <definedName name="solver_lhs3" localSheetId="4" hidden="1">Cost_Calculator_v2!$L$3</definedName>
    <definedName name="solver_lhs4" localSheetId="4" hidden="1">Cost_Calculator_v2!$L$4</definedName>
    <definedName name="solver_lhs5" localSheetId="4" hidden="1">Cost_Calculator_v2!$L$5</definedName>
    <definedName name="solver_lhs6" localSheetId="4" hidden="1">Cost_Calculator_v2!$L$6</definedName>
    <definedName name="solver_lhs7" localSheetId="4" hidden="1">Cost_Calculator_v2!$L$7</definedName>
    <definedName name="solver_mip" localSheetId="2" hidden="1">2147483647</definedName>
    <definedName name="solver_mip" localSheetId="4" hidden="1">2147483647</definedName>
    <definedName name="solver_mni" localSheetId="2" hidden="1">30</definedName>
    <definedName name="solver_mni" localSheetId="4" hidden="1">30</definedName>
    <definedName name="solver_mrt" localSheetId="2" hidden="1">0.075</definedName>
    <definedName name="solver_mrt" localSheetId="4" hidden="1">0.075</definedName>
    <definedName name="solver_msl" localSheetId="2" hidden="1">2</definedName>
    <definedName name="solver_msl" localSheetId="4" hidden="1">2</definedName>
    <definedName name="solver_neg" localSheetId="2" hidden="1">1</definedName>
    <definedName name="solver_neg" localSheetId="4" hidden="1">1</definedName>
    <definedName name="solver_neg" localSheetId="1" hidden="1">1</definedName>
    <definedName name="solver_nod" localSheetId="2" hidden="1">2147483647</definedName>
    <definedName name="solver_nod" localSheetId="4" hidden="1">2147483647</definedName>
    <definedName name="solver_num" localSheetId="2" hidden="1">1</definedName>
    <definedName name="solver_num" localSheetId="4" hidden="1">7</definedName>
    <definedName name="solver_num" localSheetId="1" hidden="1">0</definedName>
    <definedName name="solver_nwt" localSheetId="2" hidden="1">1</definedName>
    <definedName name="solver_nwt" localSheetId="4" hidden="1">1</definedName>
    <definedName name="solver_opt" localSheetId="2" hidden="1">Cost_Calculator_v1!$B$20</definedName>
    <definedName name="solver_opt" localSheetId="4" hidden="1">Cost_Calculator_v2!$B$20</definedName>
    <definedName name="solver_pre" localSheetId="2" hidden="1">0.000001</definedName>
    <definedName name="solver_pre" localSheetId="4" hidden="1">0.000001</definedName>
    <definedName name="solver_rbv" localSheetId="2" hidden="1">1</definedName>
    <definedName name="solver_rbv" localSheetId="4" hidden="1">1</definedName>
    <definedName name="solver_rel1" localSheetId="2" hidden="1">2</definedName>
    <definedName name="solver_rel1" localSheetId="4" hidden="1">2</definedName>
    <definedName name="solver_rel2" localSheetId="4" hidden="1">3</definedName>
    <definedName name="solver_rel3" localSheetId="4" hidden="1">3</definedName>
    <definedName name="solver_rel4" localSheetId="4" hidden="1">3</definedName>
    <definedName name="solver_rel5" localSheetId="4" hidden="1">1</definedName>
    <definedName name="solver_rel6" localSheetId="4" hidden="1">1</definedName>
    <definedName name="solver_rel7" localSheetId="4" hidden="1">1</definedName>
    <definedName name="solver_rhs1" localSheetId="2" hidden="1">300</definedName>
    <definedName name="solver_rhs1" localSheetId="4" hidden="1">300</definedName>
    <definedName name="solver_rhs2" localSheetId="4" hidden="1">50</definedName>
    <definedName name="solver_rhs3" localSheetId="4" hidden="1">50</definedName>
    <definedName name="solver_rhs4" localSheetId="4" hidden="1">50</definedName>
    <definedName name="solver_rhs5" localSheetId="4" hidden="1">150</definedName>
    <definedName name="solver_rhs6" localSheetId="4" hidden="1">150</definedName>
    <definedName name="solver_rhs7" localSheetId="4" hidden="1">150</definedName>
    <definedName name="solver_rlx" localSheetId="2" hidden="1">2</definedName>
    <definedName name="solver_rlx" localSheetId="4" hidden="1">2</definedName>
    <definedName name="solver_rsd" localSheetId="2" hidden="1">0</definedName>
    <definedName name="solver_rsd" localSheetId="4" hidden="1">0</definedName>
    <definedName name="solver_scl" localSheetId="2" hidden="1">1</definedName>
    <definedName name="solver_scl" localSheetId="4" hidden="1">1</definedName>
    <definedName name="solver_sho" localSheetId="2" hidden="1">2</definedName>
    <definedName name="solver_sho" localSheetId="4" hidden="1">2</definedName>
    <definedName name="solver_ssz" localSheetId="2" hidden="1">100</definedName>
    <definedName name="solver_ssz" localSheetId="4" hidden="1">100</definedName>
    <definedName name="solver_tim" localSheetId="2" hidden="1">2147483647</definedName>
    <definedName name="solver_tim" localSheetId="4" hidden="1">2147483647</definedName>
    <definedName name="solver_tol" localSheetId="2" hidden="1">0.01</definedName>
    <definedName name="solver_tol" localSheetId="4" hidden="1">0.01</definedName>
    <definedName name="solver_typ" localSheetId="2" hidden="1">2</definedName>
    <definedName name="solver_typ" localSheetId="4" hidden="1">2</definedName>
    <definedName name="solver_typ" localSheetId="1" hidden="1">2</definedName>
    <definedName name="solver_val" localSheetId="2" hidden="1">0</definedName>
    <definedName name="solver_val" localSheetId="4" hidden="1">0</definedName>
    <definedName name="solver_val" localSheetId="1" hidden="1">0</definedName>
    <definedName name="solver_ver" localSheetId="2" hidden="1">3</definedName>
    <definedName name="solver_ver" localSheetId="4" hidden="1">3</definedName>
    <definedName name="solver_ver" localSheetId="1" hidden="1">3</definedName>
  </definedName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34" i="6" l="1"/>
  <c r="L7" i="8"/>
  <c r="L6" i="8"/>
  <c r="L5" i="8"/>
  <c r="L4" i="8"/>
  <c r="L3" i="8"/>
  <c r="L2" i="8"/>
  <c r="B19" i="8"/>
  <c r="B21" i="8" s="1"/>
  <c r="G16" i="8"/>
  <c r="I16" i="8" s="1"/>
  <c r="C16" i="8"/>
  <c r="E16" i="8" s="1"/>
  <c r="B16" i="8"/>
  <c r="F16" i="8" s="1"/>
  <c r="A16" i="8"/>
  <c r="G15" i="8"/>
  <c r="I15" i="8" s="1"/>
  <c r="E15" i="8"/>
  <c r="C15" i="8"/>
  <c r="B15" i="8"/>
  <c r="F15" i="8" s="1"/>
  <c r="A15" i="8"/>
  <c r="I14" i="8"/>
  <c r="G14" i="8"/>
  <c r="E14" i="8"/>
  <c r="D14" i="8"/>
  <c r="C14" i="8"/>
  <c r="B14" i="8"/>
  <c r="F14" i="8" s="1"/>
  <c r="A14" i="8"/>
  <c r="I13" i="8"/>
  <c r="G13" i="8"/>
  <c r="D13" i="8"/>
  <c r="C13" i="8"/>
  <c r="E13" i="8" s="1"/>
  <c r="B13" i="8"/>
  <c r="F13" i="8" s="1"/>
  <c r="A13" i="8"/>
  <c r="I12" i="8"/>
  <c r="G12" i="8"/>
  <c r="C12" i="8"/>
  <c r="E12" i="8" s="1"/>
  <c r="B12" i="8"/>
  <c r="F12" i="8" s="1"/>
  <c r="A12" i="8"/>
  <c r="G11" i="8"/>
  <c r="I11" i="8" s="1"/>
  <c r="E11" i="8"/>
  <c r="C11" i="8"/>
  <c r="B11" i="8"/>
  <c r="F11" i="8" s="1"/>
  <c r="A11" i="8"/>
  <c r="G10" i="8"/>
  <c r="I10" i="8" s="1"/>
  <c r="E10" i="8"/>
  <c r="D10" i="8"/>
  <c r="C10" i="8"/>
  <c r="B10" i="8"/>
  <c r="F10" i="8" s="1"/>
  <c r="A10" i="8"/>
  <c r="I9" i="8"/>
  <c r="G9" i="8"/>
  <c r="D9" i="8"/>
  <c r="C9" i="8"/>
  <c r="E9" i="8" s="1"/>
  <c r="B9" i="8"/>
  <c r="F9" i="8" s="1"/>
  <c r="A9" i="8"/>
  <c r="I8" i="8"/>
  <c r="G8" i="8"/>
  <c r="C8" i="8"/>
  <c r="E8" i="8" s="1"/>
  <c r="B8" i="8"/>
  <c r="F8" i="8" s="1"/>
  <c r="A8" i="8"/>
  <c r="G7" i="8"/>
  <c r="I7" i="8" s="1"/>
  <c r="E7" i="8"/>
  <c r="C7" i="8"/>
  <c r="B7" i="8"/>
  <c r="F7" i="8" s="1"/>
  <c r="A7" i="8"/>
  <c r="G6" i="8"/>
  <c r="I6" i="8" s="1"/>
  <c r="E6" i="8"/>
  <c r="D6" i="8"/>
  <c r="C6" i="8"/>
  <c r="B6" i="8"/>
  <c r="F6" i="8" s="1"/>
  <c r="A6" i="8"/>
  <c r="I5" i="8"/>
  <c r="G5" i="8"/>
  <c r="D5" i="8"/>
  <c r="C5" i="8"/>
  <c r="E5" i="8" s="1"/>
  <c r="B5" i="8"/>
  <c r="F5" i="8" s="1"/>
  <c r="A5" i="8"/>
  <c r="G4" i="8"/>
  <c r="I4" i="8" s="1"/>
  <c r="C4" i="8"/>
  <c r="E4" i="8" s="1"/>
  <c r="B4" i="8"/>
  <c r="F4" i="8" s="1"/>
  <c r="A4" i="8"/>
  <c r="G3" i="8"/>
  <c r="I3" i="8" s="1"/>
  <c r="E3" i="8"/>
  <c r="C3" i="8"/>
  <c r="B3" i="8"/>
  <c r="F3" i="8" s="1"/>
  <c r="A3" i="8"/>
  <c r="G2" i="8"/>
  <c r="I2" i="8" s="1"/>
  <c r="E2" i="8"/>
  <c r="D2" i="8"/>
  <c r="C2" i="8"/>
  <c r="B2" i="8"/>
  <c r="F2" i="8" s="1"/>
  <c r="A2" i="8"/>
  <c r="B19" i="2"/>
  <c r="B22" i="2" s="1"/>
  <c r="A3" i="2"/>
  <c r="B3" i="2"/>
  <c r="D3" i="2" s="1"/>
  <c r="C3" i="2"/>
  <c r="E3" i="2"/>
  <c r="F3" i="2"/>
  <c r="G3" i="2"/>
  <c r="I3" i="2"/>
  <c r="A4" i="2"/>
  <c r="B4" i="2"/>
  <c r="D4" i="2" s="1"/>
  <c r="C4" i="2"/>
  <c r="E4" i="2"/>
  <c r="F4" i="2"/>
  <c r="G4" i="2"/>
  <c r="I4" i="2"/>
  <c r="A5" i="2"/>
  <c r="B5" i="2"/>
  <c r="D5" i="2" s="1"/>
  <c r="C5" i="2"/>
  <c r="E5" i="2"/>
  <c r="F5" i="2"/>
  <c r="G5" i="2"/>
  <c r="I5" i="2"/>
  <c r="A6" i="2"/>
  <c r="B6" i="2"/>
  <c r="D6" i="2" s="1"/>
  <c r="C6" i="2"/>
  <c r="E6" i="2"/>
  <c r="F6" i="2"/>
  <c r="G6" i="2"/>
  <c r="I6" i="2"/>
  <c r="A7" i="2"/>
  <c r="B7" i="2"/>
  <c r="D7" i="2" s="1"/>
  <c r="C7" i="2"/>
  <c r="E7" i="2"/>
  <c r="F7" i="2"/>
  <c r="G7" i="2"/>
  <c r="I7" i="2"/>
  <c r="A8" i="2"/>
  <c r="B8" i="2"/>
  <c r="D8" i="2" s="1"/>
  <c r="C8" i="2"/>
  <c r="E8" i="2"/>
  <c r="F8" i="2"/>
  <c r="G8" i="2"/>
  <c r="I8" i="2"/>
  <c r="A9" i="2"/>
  <c r="B9" i="2"/>
  <c r="D9" i="2" s="1"/>
  <c r="C9" i="2"/>
  <c r="E9" i="2"/>
  <c r="F9" i="2"/>
  <c r="G9" i="2"/>
  <c r="I9" i="2"/>
  <c r="A10" i="2"/>
  <c r="B10" i="2"/>
  <c r="D10" i="2" s="1"/>
  <c r="C10" i="2"/>
  <c r="E10" i="2"/>
  <c r="F10" i="2"/>
  <c r="G10" i="2"/>
  <c r="I10" i="2"/>
  <c r="A11" i="2"/>
  <c r="B11" i="2"/>
  <c r="D11" i="2" s="1"/>
  <c r="C11" i="2"/>
  <c r="E11" i="2"/>
  <c r="F11" i="2"/>
  <c r="G11" i="2"/>
  <c r="I11" i="2"/>
  <c r="A12" i="2"/>
  <c r="B12" i="2"/>
  <c r="D12" i="2" s="1"/>
  <c r="C12" i="2"/>
  <c r="E12" i="2"/>
  <c r="F12" i="2"/>
  <c r="G12" i="2"/>
  <c r="I12" i="2"/>
  <c r="A13" i="2"/>
  <c r="B13" i="2"/>
  <c r="F13" i="2" s="1"/>
  <c r="C13" i="2"/>
  <c r="E13" i="2"/>
  <c r="G13" i="2"/>
  <c r="I13" i="2"/>
  <c r="A14" i="2"/>
  <c r="B14" i="2"/>
  <c r="D14" i="2" s="1"/>
  <c r="C14" i="2"/>
  <c r="E14" i="2"/>
  <c r="F14" i="2"/>
  <c r="G14" i="2"/>
  <c r="I14" i="2"/>
  <c r="A15" i="2"/>
  <c r="B15" i="2"/>
  <c r="D15" i="2" s="1"/>
  <c r="C15" i="2"/>
  <c r="E15" i="2"/>
  <c r="G15" i="2"/>
  <c r="I15" i="2"/>
  <c r="A16" i="2"/>
  <c r="B16" i="2"/>
  <c r="F16" i="2" s="1"/>
  <c r="C16" i="2"/>
  <c r="E16" i="2"/>
  <c r="G16" i="2"/>
  <c r="I16" i="2"/>
  <c r="B2" i="2"/>
  <c r="C2" i="2"/>
  <c r="E2" i="2" s="1"/>
  <c r="D2" i="2"/>
  <c r="F2" i="2"/>
  <c r="G2" i="2"/>
  <c r="I2" i="2"/>
  <c r="A2" i="2"/>
  <c r="D4" i="8" l="1"/>
  <c r="D8" i="8"/>
  <c r="D12" i="8"/>
  <c r="D16" i="8"/>
  <c r="D3" i="8"/>
  <c r="D7" i="8"/>
  <c r="D11" i="8"/>
  <c r="D15" i="8"/>
  <c r="B22" i="8"/>
  <c r="B20" i="8"/>
  <c r="B20" i="2"/>
  <c r="B21" i="2"/>
  <c r="F15" i="2"/>
  <c r="D16" i="2"/>
  <c r="D13" i="2"/>
</calcChain>
</file>

<file path=xl/sharedStrings.xml><?xml version="1.0" encoding="utf-8"?>
<sst xmlns="http://schemas.openxmlformats.org/spreadsheetml/2006/main" count="323" uniqueCount="240">
  <si>
    <t>Route_ID</t>
  </si>
  <si>
    <t>Route_Description</t>
  </si>
  <si>
    <t>Origin</t>
  </si>
  <si>
    <t>Destination</t>
  </si>
  <si>
    <t>R1</t>
  </si>
  <si>
    <t>R2</t>
  </si>
  <si>
    <t>R3</t>
  </si>
  <si>
    <t>R4</t>
  </si>
  <si>
    <t>R5</t>
  </si>
  <si>
    <t>Shanghai</t>
  </si>
  <si>
    <t>Pointe-Noire</t>
  </si>
  <si>
    <t>Mombasa</t>
  </si>
  <si>
    <t>Lagos</t>
  </si>
  <si>
    <t>Route_Type</t>
  </si>
  <si>
    <t>Hub</t>
  </si>
  <si>
    <t>Direct</t>
  </si>
  <si>
    <t>Shanghai - Pointe-Noire</t>
  </si>
  <si>
    <t>Shanghai - Mombasa</t>
  </si>
  <si>
    <t>Shanghai - Lagos</t>
  </si>
  <si>
    <t>Transit Days</t>
  </si>
  <si>
    <t>Carrier_ID</t>
  </si>
  <si>
    <t>Carrier_Name</t>
  </si>
  <si>
    <t>Service_Level</t>
  </si>
  <si>
    <t>C1</t>
  </si>
  <si>
    <t>C2</t>
  </si>
  <si>
    <t>C3</t>
  </si>
  <si>
    <t>MAERSK</t>
  </si>
  <si>
    <t>MSC</t>
  </si>
  <si>
    <t>CMA CGM</t>
  </si>
  <si>
    <t>Premium</t>
  </si>
  <si>
    <t>Standard</t>
  </si>
  <si>
    <t>Combination_ID</t>
  </si>
  <si>
    <t>RC1</t>
  </si>
  <si>
    <t>RC2</t>
  </si>
  <si>
    <t>RC3</t>
  </si>
  <si>
    <t>RC4</t>
  </si>
  <si>
    <t>RC5</t>
  </si>
  <si>
    <t>RC6</t>
  </si>
  <si>
    <t>RC7</t>
  </si>
  <si>
    <t>RC8</t>
  </si>
  <si>
    <t>RC9</t>
  </si>
  <si>
    <t>RC10</t>
  </si>
  <si>
    <t>RC11</t>
  </si>
  <si>
    <t>RC12</t>
  </si>
  <si>
    <t>RC13</t>
  </si>
  <si>
    <t>RC14</t>
  </si>
  <si>
    <t>RC15</t>
  </si>
  <si>
    <t>Inland_Transport</t>
  </si>
  <si>
    <t>Origin_Handling</t>
  </si>
  <si>
    <t>Ocean_Freight</t>
  </si>
  <si>
    <t>Surcharges</t>
  </si>
  <si>
    <t>Destination_Handling</t>
  </si>
  <si>
    <t>Last_Mile</t>
  </si>
  <si>
    <t>Ocean freight rates based on 2026 market benchmarks for China–Africa FCL 40ft shipments (Dantful, Sino-Shipping logistics data).</t>
  </si>
  <si>
    <t>Surcharges estimated at 25% of base ocean freight, consistent with industry BAF/PSS conventions.</t>
  </si>
  <si>
    <t>Inland, handling, and last-mile costs are planning-level estimates assuming near-port distribution.</t>
  </si>
  <si>
    <t>Combination ID</t>
  </si>
  <si>
    <t>Route ID</t>
  </si>
  <si>
    <t>Carrier Name</t>
  </si>
  <si>
    <t>Cost Per TEU</t>
  </si>
  <si>
    <t>Containers Allocated</t>
  </si>
  <si>
    <t>Route Description</t>
  </si>
  <si>
    <t>Carrier ID</t>
  </si>
  <si>
    <t>Total Cost</t>
  </si>
  <si>
    <t>Objective Cell (Minimize)</t>
  </si>
  <si>
    <t>Variable Cells</t>
  </si>
  <si>
    <t>All allocations ≥ 0</t>
  </si>
  <si>
    <t>Total Containers</t>
  </si>
  <si>
    <t>Check</t>
  </si>
  <si>
    <t>Avg Transit Time</t>
  </si>
  <si>
    <t>Pointe-Noire Total</t>
  </si>
  <si>
    <t>Mombasa Total</t>
  </si>
  <si>
    <t>Lagos Total</t>
  </si>
  <si>
    <t>Maersk Total</t>
  </si>
  <si>
    <t>MSC Total</t>
  </si>
  <si>
    <t>CMA CGM Total</t>
  </si>
  <si>
    <t>SOLVER V2 — CONSTRAINED OPTIMIZATION</t>
  </si>
  <si>
    <t>Solving Method</t>
  </si>
  <si>
    <t>Simplex PL</t>
  </si>
  <si>
    <t>CONSTRAINTS</t>
  </si>
  <si>
    <t>Total containers</t>
  </si>
  <si>
    <t>Pointe-Noire minimum</t>
  </si>
  <si>
    <t>Mombasa minimum</t>
  </si>
  <si>
    <t>Lagos minimum</t>
  </si>
  <si>
    <t>Maersk maximum</t>
  </si>
  <si>
    <t>MSC maximum</t>
  </si>
  <si>
    <t>CMA CGM maximum</t>
  </si>
  <si>
    <t>RESULTS</t>
  </si>
  <si>
    <t>Total Containers Shipped</t>
  </si>
  <si>
    <t>Total Optimized Cost</t>
  </si>
  <si>
    <t>35.83 days</t>
  </si>
  <si>
    <t>ALLOCATION</t>
  </si>
  <si>
    <t>RC3 — CMA CGM → Pointe-Noire (Hub)</t>
  </si>
  <si>
    <t>RC11 — MSC → Mombasa (Hub)</t>
  </si>
  <si>
    <t>RC12 — CMA CGM → Mombasa (Hub)</t>
  </si>
  <si>
    <t>RC15 — CMA CGM → Lagos (Hub)</t>
  </si>
  <si>
    <t>50 containers</t>
  </si>
  <si>
    <t>150 containers</t>
  </si>
  <si>
    <t>COMPARISON VS V1</t>
  </si>
  <si>
    <t>V1 Cost (unconstrained)</t>
  </si>
  <si>
    <t>V2 Cost (constrained)</t>
  </si>
  <si>
    <t>Cost Premium</t>
  </si>
  <si>
    <t>Cost Premium %</t>
  </si>
  <si>
    <t>BUSINESS CONCLUSION</t>
  </si>
  <si>
    <t>V1 risk</t>
  </si>
  <si>
    <t>V2 benefit</t>
  </si>
  <si>
    <t>Recommendation</t>
  </si>
  <si>
    <t>Single carrier, single destination — zero resilience</t>
  </si>
  <si>
    <t>3 destinations covered, 2 carriers, risk distributed</t>
  </si>
  <si>
    <t>V2 is the operationally sound choice</t>
  </si>
  <si>
    <t>No destination minimums</t>
  </si>
  <si>
    <t>No carrier maximums</t>
  </si>
  <si>
    <t>None applied</t>
  </si>
  <si>
    <t>35 days</t>
  </si>
  <si>
    <t>All other combinations</t>
  </si>
  <si>
    <t>300 containers</t>
  </si>
  <si>
    <t>0 containers</t>
  </si>
  <si>
    <t>BUSINESS PROBLEM WITH THIS SOLUTION</t>
  </si>
  <si>
    <t>Pointe-Noire containers</t>
  </si>
  <si>
    <t>Lagos containers</t>
  </si>
  <si>
    <t>Carrier dependency</t>
  </si>
  <si>
    <t>0 — market not served ❌</t>
  </si>
  <si>
    <t>100% CMA CGM — zero resilience ❌</t>
  </si>
  <si>
    <t>Mathematical result</t>
  </si>
  <si>
    <t>Business result</t>
  </si>
  <si>
    <t>Optimal ✅</t>
  </si>
  <si>
    <t>Unacceptable ❌</t>
  </si>
  <si>
    <t>CONCLUSION</t>
  </si>
  <si>
    <t>Pure cost optimization ignores real operational constraints</t>
  </si>
  <si>
    <t>Solution requires destination minimums and carrier caps → See V2</t>
  </si>
  <si>
    <r>
      <rPr>
        <sz val="20"/>
        <color theme="0"/>
        <rFont val="Calibri"/>
        <family val="2"/>
        <scheme val="minor"/>
      </rPr>
      <t>Freight Cost Optimization — Shanghai to Africa</t>
    </r>
    <r>
      <rPr>
        <sz val="11"/>
        <color theme="0"/>
        <rFont val="Calibri"/>
        <family val="2"/>
        <scheme val="minor"/>
      </rPr>
      <t xml:space="preserve">
</t>
    </r>
    <r>
      <rPr>
        <sz val="12"/>
        <color theme="0"/>
        <rFont val="Calibri"/>
        <family val="2"/>
        <scheme val="minor"/>
      </rPr>
      <t>Medical Supply Company | 300 TEUs | Q3 2026</t>
    </r>
  </si>
  <si>
    <t>TOTAL COST =$1,328,800</t>
  </si>
  <si>
    <t>CONTAINERS SHIPPED   300 TEUs</t>
  </si>
  <si>
    <t>AVG TRANSIT TIME        35.8 days</t>
  </si>
  <si>
    <t>Combination</t>
  </si>
  <si>
    <t>RC1-Maersk-PNR(Hub)</t>
  </si>
  <si>
    <t>RC2-MSC-PNR(Hub)</t>
  </si>
  <si>
    <t>RC3-CMACGM-PNR(Hub)</t>
  </si>
  <si>
    <t>RC4-Maersk-PNR(Direct)</t>
  </si>
  <si>
    <t>RC5-MSC-PNR(Direct)</t>
  </si>
  <si>
    <t>RC6-CMACGM-PNR(Direct)</t>
  </si>
  <si>
    <t>RC7-Maersk-MBS(Direct)</t>
  </si>
  <si>
    <t>RC8-MSC-MBS(Direct)</t>
  </si>
  <si>
    <t>RC9-CMACGM-MBS(Direct)</t>
  </si>
  <si>
    <t>RC10-Maersk-MBS(Hub)</t>
  </si>
  <si>
    <t>RC11-MSC-MBS(Hub)</t>
  </si>
  <si>
    <t>RC12-CMACGM-MBS(Hub)</t>
  </si>
  <si>
    <t>RC13-Maersk-Lagos(Hub)</t>
  </si>
  <si>
    <t>RC14-MSC-Lagos(Hub)</t>
  </si>
  <si>
    <t>RC15-CMACGM-Lagos(Hub)</t>
  </si>
  <si>
    <t>Containers</t>
  </si>
  <si>
    <t>Version</t>
  </si>
  <si>
    <t>V1 Unconstrained</t>
  </si>
  <si>
    <t>V2 Constrained</t>
  </si>
  <si>
    <t>Medical Supply Company | Shanghai to Africa | 300 TEUs | Q3 2026</t>
  </si>
  <si>
    <t>METHODOLOGY</t>
  </si>
  <si>
    <t>KEY FINDINGS</t>
  </si>
  <si>
    <t>RECOMMENDATIONS</t>
  </si>
  <si>
    <t>LIMITATIONS &amp; ASSUMPTIONS</t>
  </si>
  <si>
    <t>Cheat Table</t>
  </si>
  <si>
    <t>SOLVER V1 — UNCONSTRAINED OPTIMIZATION</t>
  </si>
  <si>
    <t>📄 See "Insights" tab for full analysis &amp; recommendations</t>
  </si>
  <si>
    <t>MARKET CONTEXT — Q3 2026</t>
  </si>
  <si>
    <t>This model was built and validated during one of the most disruptive periods in modern shipping history.</t>
  </si>
  <si>
    <t>The US-Israel-Iran conflict (February 28 – June 17, 2026) closed the Strait of Hormuz — a chokepoint handling 25% of world seaborne oil — forcing all major carriers including Maersk, MSC and CMA CGM to reroute via Cape of Good Hope, adding 10-20 days to transit times and triggering emergency surcharges of $2,000-$4,000 per TEU industry-wide.</t>
  </si>
  <si>
    <t>Simultaneously, African destination ports faced severe congestion: Mombasa averaged 5.33 days vessel waiting time, Abidjan 8.56 days, and Tema 5.83 days as of late June 2026.</t>
  </si>
  <si>
    <t>This context is critical: the model's base rates reflect post-conflict normalization benchmarks. During peak disruption, total costs would have been 40-60% higher across all carriers.</t>
  </si>
  <si>
    <t>Understanding this volatility is as important as the optimization itself.</t>
  </si>
  <si>
    <t>This model evaluates 15 route/carrier combinations (5 routes × 3 carriers) across 3 African destinations: Pointe-Noire (Congo), Mombasa (Kenya), and Lagos (Nigeria).</t>
  </si>
  <si>
    <t>Total cost per TEU incorporates 6 components: inland transport, origin port handling, ocean freight (base rate), surcharges (BAF/PSS at 25% of ocean freight), destination port handling, and last-mile delivery.</t>
  </si>
  <si>
    <t>Base ocean freight rates were benchmarked against 2026 market data from Dantful and Sino-Shipping for FCL 40ft China-Africa shipments, validated against publicly available carrier rate estimators.</t>
  </si>
  <si>
    <t>Two optimization scenarios were modeled using Excel Solver (Simplex LP method): V1 unconstrained and V2 constrained with destination minimums and carrier caps.</t>
  </si>
  <si>
    <t>A key limitation acknowledged upfront: this model optimizes on rate cost only. It does not currently incorporate schedule reliability, port congestion dwell costs, geopolitical surcharges, or service quality differentials.</t>
  </si>
  <si>
    <t>These limitations directly inform the recommendations and the proposed next version of this model.</t>
  </si>
  <si>
    <t>Finding 1: Hub routing is cheaper than direct on Africa lanes — contradicting common intuition</t>
  </si>
  <si>
    <t>Hub routes (via Lomé, Singapore, Dakar) were consistently cheaper than direct routes due to mega-vessel economies of scale. The Mombasa hub route (R4) averaged $550 less per TEU than the equivalent direct route (R3).</t>
  </si>
  <si>
    <t>This is counterintuitive — more stops, lower cost. The reason: mainline carriers deploy vessels of 18,000+ TEUs on hub corridors, spreading fixed costs across thousands of containers. Direct Africa services use smaller vessels with higher per-unit costs.</t>
  </si>
  <si>
    <t>Finding 2: CMA CGM offered the most competitive rates on Africa-bound routes</t>
  </si>
  <si>
    <t>CMA CGM delivered the lowest Cost Per TEU on 4 out of 5 routes evaluated, averaging $370 cheaper per TEU than Maersk on equivalent combinations.</t>
  </si>
  <si>
    <t>This is consistent with CMA CGM's strategic positioning in Africa — the company recently signed a €700 million agreement to upgrade Mombasa Port infrastructure and is developing a new deep-water terminal in Pointe-Noire as a future Atlantic hub for Central Africa. Heavy Africa investment = competitive Africa pricing.</t>
  </si>
  <si>
    <t>Finding 3: Pure cost optimization produces mathematically correct but operationally unacceptable results</t>
  </si>
  <si>
    <t>V1 (unconstrained Solver) allocated all 300 containers to RC12 — CMA CGM, Mombasa hub — at a total cost of $1,235,400. This is the cheapest possible solution.</t>
  </si>
  <si>
    <t>However it left Pointe-Noire and Lagos with zero containers (2 markets completely unserved) and created 100% carrier dependency on CMA CGM. A single vessel delay, equipment shortage, or port closure would halt the entire shipment.</t>
  </si>
  <si>
    <t>This is a critical lesson: optimization tools find the mathematical optimum, not the business optimum. An analyst's job is to know the difference.</t>
  </si>
  <si>
    <t>Finding 4: Adding real-world constraints costs 7.5% more but creates a resilient, viable plan</t>
  </si>
  <si>
    <t>V2 (constrained Solver) distributed 300 containers across 4 combinations serving all 3 destinations using 2 carriers, at a total cost of $1,328,800 — a premium of $93,400 over V1.</t>
  </si>
  <si>
    <t>This premium buys: guaranteed supply to all 3 markets, reduced carrier dependency, and a more defensible procurement decision. In supply chain, resilience has a price — and quantifying that price is the analyst's contribution.</t>
  </si>
  <si>
    <t>Finding 5: Mombasa received 200/300 containers in V2 — but faces the worst port congestion of the 3 destinations</t>
  </si>
  <si>
    <t>Real 2026 port data shows Mombasa averaging 5.33 days vessel waiting time due to persistent congestion, equipment shortages, and geopolitical cargo diversions from Middle East hubs.</t>
  </si>
  <si>
    <t>This is a hidden cost not captured in the model. 5.33 days of demurrage and additional dwell at Mombasa rates could add $500-$1,500 per container in unmodeled costs — potentially erasing the cost advantage that made Mombasa attractive in the first place.</t>
  </si>
  <si>
    <t>A revised model should weight destination port performance alongside ocean freight rates.</t>
  </si>
  <si>
    <t>Finding 6: Maersk's rate premium reflects service infrastructure that this model cannot measure — but that real procurement decisions must include</t>
  </si>
  <si>
    <t>Maersk received zero containers in both V1 and V2 due to higher base rates. However this conclusion is incomplete. Maersk's Gemini Cooperation with Hapag-Lloyd delivers 90%+ schedule reliability vs an industry average of 60-70%. For medical supplies — where delivery delays directly impact patient care — this differential has real financial and humanitarian value.</t>
  </si>
  <si>
    <t>Additionally Maersk controls or co-manages ~60 port terminals globally through APM Terminals, providing priority berthing and faster yard operations that reduce effective dwell time. These advantages are invisible to a rate-only model.</t>
  </si>
  <si>
    <t>Conclusion: Maersk's premium is not irrational — it reflects a service product that a more complete multi-criteria model would partially justify.</t>
  </si>
  <si>
    <t>Finding 7: Geopolitical disruption can invalidate any static optimization model overnight</t>
  </si>
  <si>
    <t>The US-Israel-Iran conflict (Feb-June 2026) demonstrated that cost models built for normal conditions can be rendered obsolete within hours. All carriers simultaneously suspended Red Sea and Strait of Hormuz transits. Emergency surcharges of $2,000-$4,000 per TEU were introduced industry-wide. Transit times increased by 10-20 days across all routes.</t>
  </si>
  <si>
    <t>No carrier was immune — Maersk, MSC and CMA CGM were equally disrupted. The differentiator during crises is not who has the lowest rate, but who communicates fastest, reroutes most efficiently, and has the deepest alternative network.</t>
  </si>
  <si>
    <t>This model should be complemented by a scenario planning layer that stress-tests the optimal solution against disruption events.</t>
  </si>
  <si>
    <t>R1: Adopt V2 as the operational plan but monitor Mombasa congestion closely</t>
  </si>
  <si>
    <t>The constrained solution at $1,328,800 is operationally sound. However given Mombasa's 5.33-day average waiting time, the company should establish a contingency: if Mombasa congestion exceeds 7 days, divert 50 containers from RC11/RC12 to RC9 (CMA CGM, Mombasa direct) or RC15 (CMA CGM, Lagos hub).</t>
  </si>
  <si>
    <t>R2: Negotiate volume contracts with CMA CGM</t>
  </si>
  <si>
    <t>CMA CGM was selected across 3 of 4 combinations in V2 and is making the deepest infrastructure investments in your exact destination ports. A volume contract commitment could reduce rates by 5-10%, saving $60,000-$132,000 annually on equivalent volumes.</t>
  </si>
  <si>
    <t>R3: Re-run this model quarterly — Africa freight rates are highly volatile</t>
  </si>
  <si>
    <t>Shanghai-Africa rates rose significantly during the 2026 conflict and remain elevated post-ceasefire. The model's benchmarks should be refreshed every quarter using updated Freightos Baltic Index and carrier rate estimators. A static model is a snapshot, not a strategy.</t>
  </si>
  <si>
    <t>R4: Build Version 3 of this model with multi-criteria scoring</t>
  </si>
  <si>
    <t>The next version should score each combination on: rate cost (weighted 50%), schedule reliability (20%), port congestion index (20%), and carbon emissions (10%). This transforms the tool from a cost minimizer into a true procurement decision support system — and would likely justify a partial allocation to Maersk on reliability grounds.</t>
  </si>
  <si>
    <t>Rates are planning-level benchmarks, not contractual quotes. Actual rates vary by volume, contract terms, and market conditions.</t>
  </si>
  <si>
    <t>Surcharges are modeled as a flat 25% of ocean freight. In reality, BAF, PSS, and emergency conflict surcharges are applied separately and vary by carrier and route.</t>
  </si>
  <si>
    <t>Demurrage, detention, port congestion surcharges, and insurance costs are excluded from this version.</t>
  </si>
  <si>
    <t>Schedule reliability differentials between carriers are not incorporated — this is the model's most significant gap given 2026 market conditions.</t>
  </si>
  <si>
    <t>Transit times reflect vessel sailing days only and do not include port waiting times (Mombasa: +5.33 days, Lagos: +5-6 days in current conditions).</t>
  </si>
  <si>
    <t>The model assumes stable geopolitical conditions. The 2026 US-Israel-Iran conflict demonstrated this assumption can fail catastrophically.</t>
  </si>
  <si>
    <t>A future version (V3) incorporating reliability scoring, congestion penalties, and scenario planning would produce significantly more robust recommendations.</t>
  </si>
  <si>
    <t>MODEL VERSION ROADMAP</t>
  </si>
  <si>
    <t>V1 (Current): Rate-only optimization — establishes cost baseline</t>
  </si>
  <si>
    <t>V2 (Current): Constrained rate optimization — adds operational realism</t>
  </si>
  <si>
    <t>V3 (Proposed): Multi-criteria scoring — adds reliability, congestion, emissions</t>
  </si>
  <si>
    <t>V4 (Proposed): Scenario planning layer — stress tests against geopolitical disruption</t>
  </si>
  <si>
    <t>This roadmap positions the model as a living analytical tool, not a one-time exercise.</t>
  </si>
  <si>
    <t>FREIGHT COST OPTIMIZATION - ANALYTICAL INSIGHTS REPORT</t>
  </si>
  <si>
    <t>Cost_Calculator_v1!B20</t>
  </si>
  <si>
    <t>Cost_Calculator_v1!H2:H16</t>
  </si>
  <si>
    <t>Cost_Calculator_v1!B19 = 300</t>
  </si>
  <si>
    <t>Cost_Calculator_v1!H2:H16 ≥ 0</t>
  </si>
  <si>
    <t>Cost_Calculator_v2!B20</t>
  </si>
  <si>
    <t>Cost_Calculator_v2!H2:H16</t>
  </si>
  <si>
    <t>Cost_Calculator_v2!B19 = 300</t>
  </si>
  <si>
    <t>Cost_Calculator_v2!H2:H16 ≥ 0</t>
  </si>
  <si>
    <t>Cost_Calculator_v2!K2 ≥ 50</t>
  </si>
  <si>
    <t>Cost_Calculator_v2!K3 ≥ 50</t>
  </si>
  <si>
    <t>Cost_Calculator_v2!K4 ≥ 50</t>
  </si>
  <si>
    <t>Cost_Calculator_v2!K5 ≤ 150</t>
  </si>
  <si>
    <t>Cost_Calculator_v2!K6 ≤ 150</t>
  </si>
  <si>
    <t>Cost_Calculator_v2!K7 ≤ 150</t>
  </si>
  <si>
    <t>Port congestion data: Kuehne+Nagel port operational updates (June 24-30, 2026)</t>
  </si>
  <si>
    <t>Carrier schedule reliability: Sea-Intelligence, Tradlinx Q3 2025 carrier scorecard</t>
  </si>
  <si>
    <t>Geopolitical context: Xeneta, S&amp;P Global (2026 Strait of Hormuz crisis)</t>
  </si>
  <si>
    <t>CMA CGM Africa investment: Kuehne+Nagel trade intelligence reports 2026</t>
  </si>
  <si>
    <t>Maersk terminal network: APM Terminals public portfolio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</si>
</sst>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44" formatCode="_(&quot;$&quot;* #,##0.00_);_(&quot;$&quot;* \(#,##0.00\);_(&quot;$&quot;* &quot;-&quot;??_);_(@_)"/>
  </numFmts>
  <fonts count="10">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sz val="11"/>
      <color theme="0"/>
      <name val="Calibri"/>
      <family val="2"/>
      <scheme val="minor"/>
    </font>
    <font>
      <sz val="20"/>
      <color theme="1"/>
      <name val="Calibri"/>
      <family val="2"/>
      <scheme val="minor"/>
    </font>
    <font>
      <sz val="20"/>
      <color theme="0"/>
      <name val="Calibri"/>
      <family val="2"/>
      <scheme val="minor"/>
    </font>
    <font>
      <sz val="12"/>
      <color theme="0"/>
      <name val="Calibri"/>
      <family val="2"/>
      <scheme val="minor"/>
    </font>
    <font>
      <sz val="16"/>
      <color theme="0"/>
      <name val="Calibri"/>
      <family val="2"/>
      <scheme val="minor"/>
    </font>
    <font>
      <sz val="10"/>
      <color rgb="FF14181F"/>
      <name val="Var(--font-mono)"/>
    </font>
  </fonts>
  <fills count="8">
    <fill>
      <patternFill patternType="none"/>
    </fill>
    <fill>
      <patternFill patternType="gray125"/>
    </fill>
    <fill>
      <patternFill patternType="solid">
        <fgColor theme="9" tint="0.39997558519241921"/>
        <bgColor indexed="64"/>
      </patternFill>
    </fill>
    <fill>
      <patternFill patternType="solid">
        <fgColor theme="0"/>
        <bgColor indexed="64"/>
      </patternFill>
    </fill>
    <fill>
      <patternFill patternType="solid">
        <fgColor rgb="FF92D050"/>
        <bgColor indexed="64"/>
      </patternFill>
    </fill>
    <fill>
      <patternFill patternType="solid">
        <fgColor theme="4" tint="-0.249977111117893"/>
        <bgColor indexed="64"/>
      </patternFill>
    </fill>
    <fill>
      <patternFill patternType="solid">
        <fgColor theme="9"/>
        <bgColor indexed="64"/>
      </patternFill>
    </fill>
    <fill>
      <patternFill patternType="solid">
        <fgColor theme="9" tint="0.59999389629810485"/>
        <bgColor indexed="64"/>
      </patternFill>
    </fill>
  </fills>
  <borders count="1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44" fontId="1" fillId="0" borderId="0" applyFont="0" applyFill="0" applyBorder="0" applyAlignment="0" applyProtection="0"/>
  </cellStyleXfs>
  <cellXfs count="50">
    <xf numFmtId="0" fontId="0" fillId="0" borderId="0" xfId="0"/>
    <xf numFmtId="0" fontId="2" fillId="2" borderId="0" xfId="0" applyFont="1" applyFill="1"/>
    <xf numFmtId="44" fontId="0" fillId="0" borderId="0" xfId="1" applyFont="1"/>
    <xf numFmtId="44" fontId="0" fillId="0" borderId="0" xfId="0" applyNumberFormat="1"/>
    <xf numFmtId="0" fontId="2" fillId="0" borderId="0" xfId="0" applyFont="1"/>
    <xf numFmtId="0" fontId="0" fillId="3" borderId="0" xfId="0" applyFill="1" applyBorder="1"/>
    <xf numFmtId="0" fontId="0" fillId="3" borderId="0" xfId="0" applyFill="1" applyBorder="1" applyAlignment="1">
      <alignment horizontal="right"/>
    </xf>
    <xf numFmtId="0" fontId="2" fillId="3" borderId="1" xfId="0" applyFont="1" applyFill="1" applyBorder="1"/>
    <xf numFmtId="0" fontId="0" fillId="3" borderId="2"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6" fontId="0" fillId="3" borderId="4" xfId="0" applyNumberFormat="1" applyFill="1" applyBorder="1"/>
    <xf numFmtId="0" fontId="0" fillId="3" borderId="6" xfId="0" applyFill="1" applyBorder="1" applyAlignment="1">
      <alignment horizontal="right"/>
    </xf>
    <xf numFmtId="10" fontId="0" fillId="3" borderId="6" xfId="0" applyNumberFormat="1" applyFill="1" applyBorder="1"/>
    <xf numFmtId="0" fontId="0" fillId="3" borderId="4" xfId="0" applyFill="1" applyBorder="1" applyAlignment="1">
      <alignment wrapText="1"/>
    </xf>
    <xf numFmtId="0" fontId="0" fillId="3" borderId="6" xfId="0" applyFill="1" applyBorder="1" applyAlignment="1">
      <alignment wrapText="1"/>
    </xf>
    <xf numFmtId="0" fontId="2" fillId="3" borderId="0" xfId="0" applyFont="1" applyFill="1" applyBorder="1" applyAlignment="1">
      <alignment wrapText="1"/>
    </xf>
    <xf numFmtId="0" fontId="0" fillId="3" borderId="1" xfId="0" applyFill="1" applyBorder="1"/>
    <xf numFmtId="0" fontId="2" fillId="3" borderId="0" xfId="0" applyFont="1" applyFill="1" applyBorder="1" applyAlignment="1">
      <alignment horizontal="left" wrapText="1"/>
    </xf>
    <xf numFmtId="0" fontId="0" fillId="3" borderId="0" xfId="0" applyFill="1" applyBorder="1" applyAlignment="1">
      <alignment horizontal="left"/>
    </xf>
    <xf numFmtId="0" fontId="0" fillId="3" borderId="1" xfId="0" applyFill="1" applyBorder="1" applyAlignment="1">
      <alignment horizontal="left"/>
    </xf>
    <xf numFmtId="0" fontId="0" fillId="3" borderId="2" xfId="0" applyFill="1" applyBorder="1" applyAlignment="1">
      <alignment horizontal="right"/>
    </xf>
    <xf numFmtId="0" fontId="0" fillId="3" borderId="3" xfId="0" applyFill="1" applyBorder="1" applyAlignment="1">
      <alignment horizontal="left"/>
    </xf>
    <xf numFmtId="0" fontId="0" fillId="3" borderId="4" xfId="0" applyFill="1" applyBorder="1" applyAlignment="1">
      <alignment horizontal="right"/>
    </xf>
    <xf numFmtId="0" fontId="0" fillId="3" borderId="5" xfId="0" applyFill="1" applyBorder="1" applyAlignment="1">
      <alignment horizontal="left"/>
    </xf>
    <xf numFmtId="0" fontId="2" fillId="3" borderId="1" xfId="0" applyFont="1" applyFill="1" applyBorder="1" applyAlignment="1">
      <alignment horizontal="left"/>
    </xf>
    <xf numFmtId="6" fontId="0" fillId="3" borderId="4" xfId="0" applyNumberFormat="1" applyFill="1" applyBorder="1" applyAlignment="1">
      <alignment horizontal="right"/>
    </xf>
    <xf numFmtId="0" fontId="0" fillId="3" borderId="3" xfId="0" applyFill="1" applyBorder="1" applyAlignment="1">
      <alignment horizontal="left" wrapText="1"/>
    </xf>
    <xf numFmtId="0" fontId="2" fillId="3" borderId="1" xfId="0" applyFont="1" applyFill="1" applyBorder="1" applyAlignment="1">
      <alignment horizontal="left" wrapText="1"/>
    </xf>
    <xf numFmtId="0" fontId="0" fillId="3" borderId="4" xfId="0" applyFill="1" applyBorder="1" applyAlignment="1">
      <alignment horizontal="right" wrapText="1"/>
    </xf>
    <xf numFmtId="0" fontId="2" fillId="3" borderId="7" xfId="0" applyFont="1" applyFill="1" applyBorder="1" applyAlignment="1">
      <alignment horizontal="left"/>
    </xf>
    <xf numFmtId="0" fontId="0" fillId="3" borderId="8" xfId="0" applyFill="1" applyBorder="1" applyAlignment="1">
      <alignment horizontal="left" wrapText="1"/>
    </xf>
    <xf numFmtId="0" fontId="0" fillId="3" borderId="9" xfId="0" applyFill="1" applyBorder="1" applyAlignment="1">
      <alignment horizontal="left" wrapText="1"/>
    </xf>
    <xf numFmtId="0" fontId="0" fillId="4" borderId="0" xfId="0" applyFill="1"/>
    <xf numFmtId="44" fontId="0" fillId="4" borderId="0" xfId="1" applyFont="1" applyFill="1"/>
    <xf numFmtId="0" fontId="0" fillId="3" borderId="0" xfId="0" applyFill="1"/>
    <xf numFmtId="0" fontId="0" fillId="6" borderId="0" xfId="0" applyFill="1"/>
    <xf numFmtId="0" fontId="0" fillId="6" borderId="0" xfId="0" applyFill="1" applyAlignment="1">
      <alignment horizontal="right"/>
    </xf>
    <xf numFmtId="44" fontId="0" fillId="3" borderId="0" xfId="1" applyFont="1" applyFill="1"/>
    <xf numFmtId="0" fontId="0" fillId="3" borderId="0" xfId="0" applyFill="1" applyAlignment="1">
      <alignment wrapText="1"/>
    </xf>
    <xf numFmtId="0" fontId="0" fillId="4" borderId="0" xfId="0" applyFill="1" applyAlignment="1">
      <alignment wrapText="1"/>
    </xf>
    <xf numFmtId="0" fontId="0" fillId="7" borderId="0" xfId="0" applyFill="1" applyAlignment="1">
      <alignment wrapText="1"/>
    </xf>
    <xf numFmtId="0" fontId="0" fillId="6" borderId="0" xfId="0" applyFill="1" applyAlignment="1">
      <alignment wrapText="1"/>
    </xf>
    <xf numFmtId="0" fontId="9" fillId="0" borderId="0" xfId="0" applyFont="1" applyAlignment="1">
      <alignment vertical="center"/>
    </xf>
    <xf numFmtId="0" fontId="4" fillId="5" borderId="0" xfId="0" applyFont="1" applyFill="1" applyAlignment="1">
      <alignment horizontal="center" wrapText="1"/>
    </xf>
    <xf numFmtId="0" fontId="0" fillId="5" borderId="0" xfId="0" applyFill="1" applyAlignment="1">
      <alignment horizontal="center"/>
    </xf>
    <xf numFmtId="0" fontId="8" fillId="5" borderId="0" xfId="0" applyFont="1" applyFill="1" applyAlignment="1">
      <alignment horizontal="center" vertical="center" wrapText="1"/>
    </xf>
    <xf numFmtId="0" fontId="5" fillId="5" borderId="0" xfId="0" applyFont="1" applyFill="1" applyAlignment="1">
      <alignment horizontal="center" vertical="center" wrapText="1"/>
    </xf>
  </cellXfs>
  <cellStyles count="2">
    <cellStyle name="Monétaire"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 Per TEU by Route &amp; Carrier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Charts_Data!$B$1</c:f>
              <c:strCache>
                <c:ptCount val="1"/>
                <c:pt idx="0">
                  <c:v>Cost Per TEU</c:v>
                </c:pt>
              </c:strCache>
            </c:strRef>
          </c:tx>
          <c:spPr>
            <a:solidFill>
              <a:schemeClr val="accent1"/>
            </a:solidFill>
            <a:ln>
              <a:noFill/>
            </a:ln>
            <a:effectLst/>
          </c:spPr>
          <c:invertIfNegative val="0"/>
          <c:cat>
            <c:strRef>
              <c:f>Charts_Data!$A$2:$A$16</c:f>
              <c:strCache>
                <c:ptCount val="15"/>
                <c:pt idx="0">
                  <c:v>RC1-Maersk-PNR(Hub)</c:v>
                </c:pt>
                <c:pt idx="1">
                  <c:v>RC2-MSC-PNR(Hub)</c:v>
                </c:pt>
                <c:pt idx="2">
                  <c:v>RC3-CMACGM-PNR(Hub)</c:v>
                </c:pt>
                <c:pt idx="3">
                  <c:v>RC4-Maersk-PNR(Direct)</c:v>
                </c:pt>
                <c:pt idx="4">
                  <c:v>RC5-MSC-PNR(Direct)</c:v>
                </c:pt>
                <c:pt idx="5">
                  <c:v>RC6-CMACGM-PNR(Direct)</c:v>
                </c:pt>
                <c:pt idx="6">
                  <c:v>RC7-Maersk-MBS(Direct)</c:v>
                </c:pt>
                <c:pt idx="7">
                  <c:v>RC8-MSC-MBS(Direct)</c:v>
                </c:pt>
                <c:pt idx="8">
                  <c:v>RC9-CMACGM-MBS(Direct)</c:v>
                </c:pt>
                <c:pt idx="9">
                  <c:v>RC10-Maersk-MBS(Hub)</c:v>
                </c:pt>
                <c:pt idx="10">
                  <c:v>RC11-MSC-MBS(Hub)</c:v>
                </c:pt>
                <c:pt idx="11">
                  <c:v>RC12-CMACGM-MBS(Hub)</c:v>
                </c:pt>
                <c:pt idx="12">
                  <c:v>RC13-Maersk-Lagos(Hub)</c:v>
                </c:pt>
                <c:pt idx="13">
                  <c:v>RC14-MSC-Lagos(Hub)</c:v>
                </c:pt>
                <c:pt idx="14">
                  <c:v>RC15-CMACGM-Lagos(Hub)</c:v>
                </c:pt>
              </c:strCache>
            </c:strRef>
          </c:cat>
          <c:val>
            <c:numRef>
              <c:f>Charts_Data!$B$2:$B$16</c:f>
              <c:numCache>
                <c:formatCode>_("$"* #,##0.00_);_("$"* \(#,##0.00\);_("$"* "-"??_);_(@_)</c:formatCode>
                <c:ptCount val="15"/>
                <c:pt idx="0">
                  <c:v>5688</c:v>
                </c:pt>
                <c:pt idx="1">
                  <c:v>5150</c:v>
                </c:pt>
                <c:pt idx="2">
                  <c:v>5013</c:v>
                </c:pt>
                <c:pt idx="3">
                  <c:v>6113</c:v>
                </c:pt>
                <c:pt idx="4">
                  <c:v>5525</c:v>
                </c:pt>
                <c:pt idx="5">
                  <c:v>5375</c:v>
                </c:pt>
                <c:pt idx="6">
                  <c:v>5080</c:v>
                </c:pt>
                <c:pt idx="7">
                  <c:v>4605</c:v>
                </c:pt>
                <c:pt idx="8">
                  <c:v>4480</c:v>
                </c:pt>
                <c:pt idx="9">
                  <c:v>4668</c:v>
                </c:pt>
                <c:pt idx="10">
                  <c:v>4230</c:v>
                </c:pt>
                <c:pt idx="11">
                  <c:v>4118</c:v>
                </c:pt>
                <c:pt idx="12">
                  <c:v>5393</c:v>
                </c:pt>
                <c:pt idx="13">
                  <c:v>4880</c:v>
                </c:pt>
                <c:pt idx="14">
                  <c:v>4755</c:v>
                </c:pt>
              </c:numCache>
            </c:numRef>
          </c:val>
          <c:extLst>
            <c:ext xmlns:c16="http://schemas.microsoft.com/office/drawing/2014/chart" uri="{C3380CC4-5D6E-409C-BE32-E72D297353CC}">
              <c16:uniqueId val="{00000000-A75F-40DD-AB7E-69C35E6CF465}"/>
            </c:ext>
          </c:extLst>
        </c:ser>
        <c:dLbls>
          <c:showLegendKey val="0"/>
          <c:showVal val="0"/>
          <c:showCatName val="0"/>
          <c:showSerName val="0"/>
          <c:showPercent val="0"/>
          <c:showBubbleSize val="0"/>
        </c:dLbls>
        <c:gapWidth val="219"/>
        <c:axId val="646545288"/>
        <c:axId val="646551848"/>
      </c:barChart>
      <c:catAx>
        <c:axId val="646545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551848"/>
        <c:crosses val="autoZero"/>
        <c:auto val="1"/>
        <c:lblAlgn val="ctr"/>
        <c:lblOffset val="100"/>
        <c:noMultiLvlLbl val="0"/>
      </c:catAx>
      <c:valAx>
        <c:axId val="646551848"/>
        <c:scaling>
          <c:orientation val="minMax"/>
          <c:min val="3500"/>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545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Container Allocation by Destination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Charts_Data!$B$18</c:f>
              <c:strCache>
                <c:ptCount val="1"/>
                <c:pt idx="0">
                  <c:v>Containers</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2-D879-4CC7-850E-CB9A0F9FD94C}"/>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D879-4CC7-850E-CB9A0F9FD94C}"/>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4-D879-4CC7-850E-CB9A0F9FD94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Charts_Data!$A$19:$A$21</c:f>
              <c:strCache>
                <c:ptCount val="3"/>
                <c:pt idx="0">
                  <c:v>Pointe-Noire</c:v>
                </c:pt>
                <c:pt idx="1">
                  <c:v>Mombasa</c:v>
                </c:pt>
                <c:pt idx="2">
                  <c:v>Lagos</c:v>
                </c:pt>
              </c:strCache>
            </c:strRef>
          </c:cat>
          <c:val>
            <c:numRef>
              <c:f>Charts_Data!$B$19:$B$21</c:f>
              <c:numCache>
                <c:formatCode>General</c:formatCode>
                <c:ptCount val="3"/>
                <c:pt idx="0">
                  <c:v>50</c:v>
                </c:pt>
                <c:pt idx="1">
                  <c:v>200</c:v>
                </c:pt>
                <c:pt idx="2">
                  <c:v>50</c:v>
                </c:pt>
              </c:numCache>
            </c:numRef>
          </c:val>
          <c:extLst>
            <c:ext xmlns:c16="http://schemas.microsoft.com/office/drawing/2014/chart" uri="{C3380CC4-5D6E-409C-BE32-E72D297353CC}">
              <c16:uniqueId val="{00000000-D879-4CC7-850E-CB9A0F9FD94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 Impact of Adding Real-World Constraints: V1 vs V2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8410914260717409"/>
          <c:y val="0.19486111111111112"/>
          <c:w val="0.77144641294838145"/>
          <c:h val="0.72088764946048411"/>
        </c:manualLayout>
      </c:layout>
      <c:barChart>
        <c:barDir val="col"/>
        <c:grouping val="clustered"/>
        <c:varyColors val="0"/>
        <c:ser>
          <c:idx val="0"/>
          <c:order val="0"/>
          <c:tx>
            <c:strRef>
              <c:f>Charts_Data!$B$24</c:f>
              <c:strCache>
                <c:ptCount val="1"/>
                <c:pt idx="0">
                  <c:v>Total Cost</c:v>
                </c:pt>
              </c:strCache>
            </c:strRef>
          </c:tx>
          <c:spPr>
            <a:solidFill>
              <a:srgbClr val="C00000"/>
            </a:solidFill>
            <a:ln>
              <a:noFill/>
            </a:ln>
            <a:effectLst/>
          </c:spPr>
          <c:invertIfNegative val="0"/>
          <c:dPt>
            <c:idx val="1"/>
            <c:invertIfNegative val="0"/>
            <c:bubble3D val="0"/>
            <c:spPr>
              <a:solidFill>
                <a:schemeClr val="accent6"/>
              </a:solidFill>
              <a:ln>
                <a:noFill/>
              </a:ln>
              <a:effectLst/>
            </c:spPr>
            <c:extLst>
              <c:ext xmlns:c16="http://schemas.microsoft.com/office/drawing/2014/chart" uri="{C3380CC4-5D6E-409C-BE32-E72D297353CC}">
                <c16:uniqueId val="{00000002-4B62-4452-ABB4-ABE8DF203B1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Charts_Data!$A$25:$A$26</c:f>
              <c:strCache>
                <c:ptCount val="2"/>
                <c:pt idx="0">
                  <c:v>V1 Unconstrained</c:v>
                </c:pt>
                <c:pt idx="1">
                  <c:v>V2 Constrained</c:v>
                </c:pt>
              </c:strCache>
            </c:strRef>
          </c:cat>
          <c:val>
            <c:numRef>
              <c:f>Charts_Data!$B$25:$B$26</c:f>
              <c:numCache>
                <c:formatCode>_("$"* #,##0.00_);_("$"* \(#,##0.00\);_("$"* "-"??_);_(@_)</c:formatCode>
                <c:ptCount val="2"/>
                <c:pt idx="0">
                  <c:v>1235400</c:v>
                </c:pt>
                <c:pt idx="1">
                  <c:v>1328800</c:v>
                </c:pt>
              </c:numCache>
            </c:numRef>
          </c:val>
          <c:extLst>
            <c:ext xmlns:c16="http://schemas.microsoft.com/office/drawing/2014/chart" uri="{C3380CC4-5D6E-409C-BE32-E72D297353CC}">
              <c16:uniqueId val="{00000000-4B62-4452-ABB4-ABE8DF203B1C}"/>
            </c:ext>
          </c:extLst>
        </c:ser>
        <c:dLbls>
          <c:showLegendKey val="0"/>
          <c:showVal val="0"/>
          <c:showCatName val="0"/>
          <c:showSerName val="0"/>
          <c:showPercent val="0"/>
          <c:showBubbleSize val="0"/>
        </c:dLbls>
        <c:gapWidth val="219"/>
        <c:overlap val="-27"/>
        <c:axId val="575501696"/>
        <c:axId val="575502024"/>
      </c:barChart>
      <c:catAx>
        <c:axId val="57550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502024"/>
        <c:crosses val="autoZero"/>
        <c:auto val="1"/>
        <c:lblAlgn val="ctr"/>
        <c:lblOffset val="100"/>
        <c:noMultiLvlLbl val="0"/>
      </c:catAx>
      <c:valAx>
        <c:axId val="57550202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501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758824</xdr:colOff>
      <xdr:row>8</xdr:row>
      <xdr:rowOff>174624</xdr:rowOff>
    </xdr:from>
    <xdr:to>
      <xdr:col>8</xdr:col>
      <xdr:colOff>6349</xdr:colOff>
      <xdr:row>24</xdr:row>
      <xdr:rowOff>165099</xdr:rowOff>
    </xdr:to>
    <xdr:graphicFrame macro="">
      <xdr:nvGraphicFramePr>
        <xdr:cNvPr id="2" name="Graphique 1">
          <a:extLst>
            <a:ext uri="{FF2B5EF4-FFF2-40B4-BE49-F238E27FC236}">
              <a16:creationId xmlns:a16="http://schemas.microsoft.com/office/drawing/2014/main" id="{FC42096F-63A7-43AF-ACCE-4BCAF09460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341226</xdr:colOff>
      <xdr:row>9</xdr:row>
      <xdr:rowOff>32727</xdr:rowOff>
    </xdr:from>
    <xdr:to>
      <xdr:col>13</xdr:col>
      <xdr:colOff>79375</xdr:colOff>
      <xdr:row>24</xdr:row>
      <xdr:rowOff>169216</xdr:rowOff>
    </xdr:to>
    <xdr:graphicFrame macro="">
      <xdr:nvGraphicFramePr>
        <xdr:cNvPr id="4" name="Graphique 3">
          <a:extLst>
            <a:ext uri="{FF2B5EF4-FFF2-40B4-BE49-F238E27FC236}">
              <a16:creationId xmlns:a16="http://schemas.microsoft.com/office/drawing/2014/main" id="{4D7A19F0-1EEB-45B6-9D7E-F7B1A721F0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749439</xdr:colOff>
      <xdr:row>26</xdr:row>
      <xdr:rowOff>3070</xdr:rowOff>
    </xdr:from>
    <xdr:to>
      <xdr:col>12</xdr:col>
      <xdr:colOff>41867</xdr:colOff>
      <xdr:row>38</xdr:row>
      <xdr:rowOff>48846</xdr:rowOff>
    </xdr:to>
    <xdr:graphicFrame macro="">
      <xdr:nvGraphicFramePr>
        <xdr:cNvPr id="5" name="Graphique 4">
          <a:extLst>
            <a:ext uri="{FF2B5EF4-FFF2-40B4-BE49-F238E27FC236}">
              <a16:creationId xmlns:a16="http://schemas.microsoft.com/office/drawing/2014/main" id="{D0AC3F0A-4EF1-4834-922B-D98F70A96D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E9383-C9A5-4C07-AB7E-C8B907F37223}">
  <dimension ref="A1:I30"/>
  <sheetViews>
    <sheetView zoomScale="95" zoomScaleNormal="95" workbookViewId="0">
      <selection activeCell="D13" sqref="D13"/>
    </sheetView>
  </sheetViews>
  <sheetFormatPr baseColWidth="10" defaultRowHeight="14.5"/>
  <cols>
    <col min="1" max="1" width="14.36328125" bestFit="1" customWidth="1"/>
    <col min="2" max="2" width="20.453125" bestFit="1" customWidth="1"/>
    <col min="3" max="3" width="11.81640625" bestFit="1" customWidth="1"/>
    <col min="4" max="4" width="15.26953125" bestFit="1" customWidth="1"/>
    <col min="5" max="5" width="14.1796875" bestFit="1" customWidth="1"/>
    <col min="6" max="6" width="12.81640625" bestFit="1" customWidth="1"/>
    <col min="8" max="8" width="18.81640625" bestFit="1" customWidth="1"/>
  </cols>
  <sheetData>
    <row r="1" spans="1:9">
      <c r="A1" s="1" t="s">
        <v>0</v>
      </c>
      <c r="B1" s="1" t="s">
        <v>1</v>
      </c>
      <c r="C1" s="1" t="s">
        <v>2</v>
      </c>
      <c r="D1" s="1" t="s">
        <v>3</v>
      </c>
      <c r="E1" s="1" t="s">
        <v>13</v>
      </c>
      <c r="F1" s="1" t="s">
        <v>19</v>
      </c>
    </row>
    <row r="2" spans="1:9">
      <c r="A2" t="s">
        <v>4</v>
      </c>
      <c r="B2" t="s">
        <v>16</v>
      </c>
      <c r="C2" t="s">
        <v>9</v>
      </c>
      <c r="D2" t="s">
        <v>10</v>
      </c>
      <c r="E2" t="s">
        <v>14</v>
      </c>
      <c r="F2">
        <v>38</v>
      </c>
    </row>
    <row r="3" spans="1:9">
      <c r="A3" t="s">
        <v>5</v>
      </c>
      <c r="B3" t="s">
        <v>16</v>
      </c>
      <c r="C3" t="s">
        <v>9</v>
      </c>
      <c r="D3" t="s">
        <v>10</v>
      </c>
      <c r="E3" t="s">
        <v>15</v>
      </c>
      <c r="F3">
        <v>34</v>
      </c>
    </row>
    <row r="4" spans="1:9">
      <c r="A4" t="s">
        <v>6</v>
      </c>
      <c r="B4" t="s">
        <v>17</v>
      </c>
      <c r="C4" t="s">
        <v>9</v>
      </c>
      <c r="D4" t="s">
        <v>11</v>
      </c>
      <c r="E4" t="s">
        <v>15</v>
      </c>
      <c r="F4">
        <v>30</v>
      </c>
    </row>
    <row r="5" spans="1:9">
      <c r="A5" t="s">
        <v>7</v>
      </c>
      <c r="B5" t="s">
        <v>17</v>
      </c>
      <c r="C5" t="s">
        <v>9</v>
      </c>
      <c r="D5" t="s">
        <v>11</v>
      </c>
      <c r="E5" t="s">
        <v>14</v>
      </c>
      <c r="F5">
        <v>35</v>
      </c>
    </row>
    <row r="6" spans="1:9">
      <c r="A6" t="s">
        <v>8</v>
      </c>
      <c r="B6" t="s">
        <v>18</v>
      </c>
      <c r="C6" t="s">
        <v>9</v>
      </c>
      <c r="D6" t="s">
        <v>12</v>
      </c>
      <c r="E6" t="s">
        <v>14</v>
      </c>
      <c r="F6">
        <v>37</v>
      </c>
    </row>
    <row r="9" spans="1:9">
      <c r="A9" s="1" t="s">
        <v>20</v>
      </c>
      <c r="B9" s="1" t="s">
        <v>21</v>
      </c>
      <c r="C9" s="1" t="s">
        <v>22</v>
      </c>
    </row>
    <row r="10" spans="1:9">
      <c r="A10" t="s">
        <v>23</v>
      </c>
      <c r="B10" t="s">
        <v>26</v>
      </c>
      <c r="C10" t="s">
        <v>29</v>
      </c>
    </row>
    <row r="11" spans="1:9">
      <c r="A11" t="s">
        <v>24</v>
      </c>
      <c r="B11" t="s">
        <v>27</v>
      </c>
      <c r="C11" t="s">
        <v>30</v>
      </c>
    </row>
    <row r="12" spans="1:9">
      <c r="A12" t="s">
        <v>25</v>
      </c>
      <c r="B12" t="s">
        <v>28</v>
      </c>
      <c r="C12" t="s">
        <v>30</v>
      </c>
    </row>
    <row r="15" spans="1:9">
      <c r="A15" s="1" t="s">
        <v>31</v>
      </c>
      <c r="B15" s="1" t="s">
        <v>0</v>
      </c>
      <c r="C15" s="1" t="s">
        <v>20</v>
      </c>
      <c r="D15" s="1" t="s">
        <v>47</v>
      </c>
      <c r="E15" s="1" t="s">
        <v>48</v>
      </c>
      <c r="F15" s="1" t="s">
        <v>49</v>
      </c>
      <c r="G15" s="1" t="s">
        <v>50</v>
      </c>
      <c r="H15" s="1" t="s">
        <v>51</v>
      </c>
      <c r="I15" s="1" t="s">
        <v>52</v>
      </c>
    </row>
    <row r="16" spans="1:9">
      <c r="A16" t="s">
        <v>32</v>
      </c>
      <c r="B16" t="s">
        <v>4</v>
      </c>
      <c r="C16" t="s">
        <v>23</v>
      </c>
      <c r="D16" s="2">
        <v>150</v>
      </c>
      <c r="E16" s="2">
        <v>120</v>
      </c>
      <c r="F16" s="2">
        <v>4030</v>
      </c>
      <c r="G16" s="2">
        <v>1008</v>
      </c>
      <c r="H16" s="2">
        <v>200</v>
      </c>
      <c r="I16" s="2">
        <v>180</v>
      </c>
    </row>
    <row r="17" spans="1:9">
      <c r="A17" t="s">
        <v>33</v>
      </c>
      <c r="B17" t="s">
        <v>4</v>
      </c>
      <c r="C17" t="s">
        <v>24</v>
      </c>
      <c r="D17" s="2">
        <v>150</v>
      </c>
      <c r="E17" s="2">
        <v>120</v>
      </c>
      <c r="F17" s="2">
        <v>3600</v>
      </c>
      <c r="G17" s="2">
        <v>900</v>
      </c>
      <c r="H17" s="2">
        <v>200</v>
      </c>
      <c r="I17" s="2">
        <v>180</v>
      </c>
    </row>
    <row r="18" spans="1:9">
      <c r="A18" t="s">
        <v>34</v>
      </c>
      <c r="B18" t="s">
        <v>4</v>
      </c>
      <c r="C18" t="s">
        <v>25</v>
      </c>
      <c r="D18" s="2">
        <v>150</v>
      </c>
      <c r="E18" s="2">
        <v>120</v>
      </c>
      <c r="F18" s="2">
        <v>3490</v>
      </c>
      <c r="G18" s="2">
        <v>873</v>
      </c>
      <c r="H18" s="2">
        <v>200</v>
      </c>
      <c r="I18" s="2">
        <v>180</v>
      </c>
    </row>
    <row r="19" spans="1:9">
      <c r="A19" t="s">
        <v>35</v>
      </c>
      <c r="B19" t="s">
        <v>5</v>
      </c>
      <c r="C19" t="s">
        <v>23</v>
      </c>
      <c r="D19" s="2">
        <v>150</v>
      </c>
      <c r="E19" s="2">
        <v>120</v>
      </c>
      <c r="F19" s="2">
        <v>4370</v>
      </c>
      <c r="G19" s="2">
        <v>1093</v>
      </c>
      <c r="H19" s="2">
        <v>200</v>
      </c>
      <c r="I19" s="2">
        <v>180</v>
      </c>
    </row>
    <row r="20" spans="1:9">
      <c r="A20" t="s">
        <v>36</v>
      </c>
      <c r="B20" t="s">
        <v>5</v>
      </c>
      <c r="C20" t="s">
        <v>24</v>
      </c>
      <c r="D20" s="2">
        <v>150</v>
      </c>
      <c r="E20" s="2">
        <v>120</v>
      </c>
      <c r="F20" s="2">
        <v>3900</v>
      </c>
      <c r="G20" s="2">
        <v>975</v>
      </c>
      <c r="H20" s="2">
        <v>200</v>
      </c>
      <c r="I20" s="2">
        <v>180</v>
      </c>
    </row>
    <row r="21" spans="1:9">
      <c r="A21" t="s">
        <v>37</v>
      </c>
      <c r="B21" t="s">
        <v>5</v>
      </c>
      <c r="C21" t="s">
        <v>25</v>
      </c>
      <c r="D21" s="2">
        <v>150</v>
      </c>
      <c r="E21" s="2">
        <v>120</v>
      </c>
      <c r="F21" s="2">
        <v>3780</v>
      </c>
      <c r="G21" s="2">
        <v>945</v>
      </c>
      <c r="H21" s="2">
        <v>200</v>
      </c>
      <c r="I21" s="2">
        <v>180</v>
      </c>
    </row>
    <row r="22" spans="1:9">
      <c r="A22" t="s">
        <v>38</v>
      </c>
      <c r="B22" t="s">
        <v>6</v>
      </c>
      <c r="C22" t="s">
        <v>23</v>
      </c>
      <c r="D22" s="2">
        <v>150</v>
      </c>
      <c r="E22" s="2">
        <v>120</v>
      </c>
      <c r="F22" s="2">
        <v>3580</v>
      </c>
      <c r="G22" s="2">
        <v>895</v>
      </c>
      <c r="H22" s="2">
        <v>175</v>
      </c>
      <c r="I22" s="2">
        <v>160</v>
      </c>
    </row>
    <row r="23" spans="1:9">
      <c r="A23" t="s">
        <v>39</v>
      </c>
      <c r="B23" t="s">
        <v>6</v>
      </c>
      <c r="C23" t="s">
        <v>24</v>
      </c>
      <c r="D23" s="2">
        <v>150</v>
      </c>
      <c r="E23" s="2">
        <v>120</v>
      </c>
      <c r="F23" s="2">
        <v>3200</v>
      </c>
      <c r="G23" s="2">
        <v>800</v>
      </c>
      <c r="H23" s="2">
        <v>175</v>
      </c>
      <c r="I23" s="2">
        <v>160</v>
      </c>
    </row>
    <row r="24" spans="1:9">
      <c r="A24" t="s">
        <v>40</v>
      </c>
      <c r="B24" t="s">
        <v>6</v>
      </c>
      <c r="C24" t="s">
        <v>25</v>
      </c>
      <c r="D24" s="2">
        <v>150</v>
      </c>
      <c r="E24" s="2">
        <v>120</v>
      </c>
      <c r="F24" s="2">
        <v>3100</v>
      </c>
      <c r="G24" s="2">
        <v>775</v>
      </c>
      <c r="H24" s="2">
        <v>175</v>
      </c>
      <c r="I24" s="2">
        <v>160</v>
      </c>
    </row>
    <row r="25" spans="1:9">
      <c r="A25" t="s">
        <v>41</v>
      </c>
      <c r="B25" t="s">
        <v>7</v>
      </c>
      <c r="C25" t="s">
        <v>23</v>
      </c>
      <c r="D25" s="2">
        <v>150</v>
      </c>
      <c r="E25" s="2">
        <v>120</v>
      </c>
      <c r="F25" s="2">
        <v>3250</v>
      </c>
      <c r="G25" s="2">
        <v>813</v>
      </c>
      <c r="H25" s="2">
        <v>175</v>
      </c>
      <c r="I25" s="2">
        <v>160</v>
      </c>
    </row>
    <row r="26" spans="1:9">
      <c r="A26" t="s">
        <v>42</v>
      </c>
      <c r="B26" t="s">
        <v>7</v>
      </c>
      <c r="C26" t="s">
        <v>24</v>
      </c>
      <c r="D26" s="2">
        <v>150</v>
      </c>
      <c r="E26" s="2">
        <v>120</v>
      </c>
      <c r="F26" s="2">
        <v>2900</v>
      </c>
      <c r="G26" s="2">
        <v>725</v>
      </c>
      <c r="H26" s="2">
        <v>175</v>
      </c>
      <c r="I26" s="2">
        <v>160</v>
      </c>
    </row>
    <row r="27" spans="1:9">
      <c r="A27" t="s">
        <v>43</v>
      </c>
      <c r="B27" t="s">
        <v>7</v>
      </c>
      <c r="C27" t="s">
        <v>25</v>
      </c>
      <c r="D27" s="2">
        <v>150</v>
      </c>
      <c r="E27" s="2">
        <v>120</v>
      </c>
      <c r="F27" s="2">
        <v>2810</v>
      </c>
      <c r="G27" s="2">
        <v>703</v>
      </c>
      <c r="H27" s="2">
        <v>175</v>
      </c>
      <c r="I27" s="2">
        <v>160</v>
      </c>
    </row>
    <row r="28" spans="1:9">
      <c r="A28" t="s">
        <v>44</v>
      </c>
      <c r="B28" t="s">
        <v>8</v>
      </c>
      <c r="C28" t="s">
        <v>23</v>
      </c>
      <c r="D28" s="2">
        <v>150</v>
      </c>
      <c r="E28" s="2">
        <v>120</v>
      </c>
      <c r="F28" s="2">
        <v>3810</v>
      </c>
      <c r="G28" s="2">
        <v>953</v>
      </c>
      <c r="H28" s="2">
        <v>190</v>
      </c>
      <c r="I28" s="2">
        <v>170</v>
      </c>
    </row>
    <row r="29" spans="1:9">
      <c r="A29" t="s">
        <v>45</v>
      </c>
      <c r="B29" t="s">
        <v>8</v>
      </c>
      <c r="C29" t="s">
        <v>24</v>
      </c>
      <c r="D29" s="2">
        <v>150</v>
      </c>
      <c r="E29" s="2">
        <v>120</v>
      </c>
      <c r="F29" s="2">
        <v>3400</v>
      </c>
      <c r="G29" s="2">
        <v>850</v>
      </c>
      <c r="H29" s="2">
        <v>190</v>
      </c>
      <c r="I29" s="2">
        <v>170</v>
      </c>
    </row>
    <row r="30" spans="1:9">
      <c r="A30" t="s">
        <v>46</v>
      </c>
      <c r="B30" t="s">
        <v>8</v>
      </c>
      <c r="C30" t="s">
        <v>25</v>
      </c>
      <c r="D30" s="2">
        <v>150</v>
      </c>
      <c r="E30" s="2">
        <v>120</v>
      </c>
      <c r="F30" s="2">
        <v>3300</v>
      </c>
      <c r="G30" s="2">
        <v>825</v>
      </c>
      <c r="H30" s="2">
        <v>190</v>
      </c>
      <c r="I30" s="2">
        <v>170</v>
      </c>
    </row>
  </sheetData>
  <phoneticPr fontId="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8D6AF-24F7-4F2B-B956-39B469AC48B1}">
  <dimension ref="A1:B34"/>
  <sheetViews>
    <sheetView topLeftCell="A32" workbookViewId="0">
      <selection activeCell="B9" sqref="B9"/>
    </sheetView>
  </sheetViews>
  <sheetFormatPr baseColWidth="10" defaultRowHeight="14.5"/>
  <cols>
    <col min="1" max="1" width="28.36328125" style="21" customWidth="1"/>
    <col min="2" max="2" width="31.453125" style="6" customWidth="1"/>
    <col min="3" max="16384" width="10.90625" style="5"/>
  </cols>
  <sheetData>
    <row r="1" spans="1:2" ht="29">
      <c r="A1" s="20" t="s">
        <v>160</v>
      </c>
    </row>
    <row r="3" spans="1:2">
      <c r="A3" s="22" t="s">
        <v>64</v>
      </c>
      <c r="B3" s="23" t="s">
        <v>221</v>
      </c>
    </row>
    <row r="4" spans="1:2">
      <c r="A4" s="24" t="s">
        <v>65</v>
      </c>
      <c r="B4" s="25" t="s">
        <v>222</v>
      </c>
    </row>
    <row r="5" spans="1:2">
      <c r="A5" s="26" t="s">
        <v>77</v>
      </c>
      <c r="B5" s="14" t="s">
        <v>78</v>
      </c>
    </row>
    <row r="8" spans="1:2">
      <c r="A8" s="27" t="s">
        <v>79</v>
      </c>
      <c r="B8" s="23"/>
    </row>
    <row r="9" spans="1:2">
      <c r="A9" s="24" t="s">
        <v>80</v>
      </c>
      <c r="B9" s="25" t="s">
        <v>223</v>
      </c>
    </row>
    <row r="10" spans="1:2">
      <c r="A10" s="24" t="s">
        <v>66</v>
      </c>
      <c r="B10" s="25" t="s">
        <v>224</v>
      </c>
    </row>
    <row r="11" spans="1:2">
      <c r="A11" s="24" t="s">
        <v>110</v>
      </c>
      <c r="B11" s="25" t="s">
        <v>112</v>
      </c>
    </row>
    <row r="12" spans="1:2">
      <c r="A12" s="26" t="s">
        <v>111</v>
      </c>
      <c r="B12" s="14" t="s">
        <v>112</v>
      </c>
    </row>
    <row r="14" spans="1:2">
      <c r="A14" s="27" t="s">
        <v>87</v>
      </c>
      <c r="B14" s="23"/>
    </row>
    <row r="15" spans="1:2">
      <c r="A15" s="24" t="s">
        <v>88</v>
      </c>
      <c r="B15" s="25">
        <v>300</v>
      </c>
    </row>
    <row r="16" spans="1:2">
      <c r="A16" s="24" t="s">
        <v>89</v>
      </c>
      <c r="B16" s="28">
        <v>1235400</v>
      </c>
    </row>
    <row r="17" spans="1:2">
      <c r="A17" s="26" t="s">
        <v>69</v>
      </c>
      <c r="B17" s="14" t="s">
        <v>113</v>
      </c>
    </row>
    <row r="19" spans="1:2">
      <c r="A19" s="27" t="s">
        <v>91</v>
      </c>
      <c r="B19" s="23"/>
    </row>
    <row r="20" spans="1:2" ht="29">
      <c r="A20" s="29" t="s">
        <v>94</v>
      </c>
      <c r="B20" s="25" t="s">
        <v>115</v>
      </c>
    </row>
    <row r="21" spans="1:2">
      <c r="A21" s="26" t="s">
        <v>114</v>
      </c>
      <c r="B21" s="14" t="s">
        <v>116</v>
      </c>
    </row>
    <row r="24" spans="1:2" ht="29">
      <c r="A24" s="30" t="s">
        <v>117</v>
      </c>
      <c r="B24" s="23"/>
    </row>
    <row r="25" spans="1:2">
      <c r="A25" s="24" t="s">
        <v>118</v>
      </c>
      <c r="B25" s="25" t="s">
        <v>121</v>
      </c>
    </row>
    <row r="26" spans="1:2">
      <c r="A26" s="24" t="s">
        <v>119</v>
      </c>
      <c r="B26" s="25" t="s">
        <v>121</v>
      </c>
    </row>
    <row r="27" spans="1:2" ht="29">
      <c r="A27" s="24" t="s">
        <v>120</v>
      </c>
      <c r="B27" s="31" t="s">
        <v>122</v>
      </c>
    </row>
    <row r="28" spans="1:2">
      <c r="A28" s="24" t="s">
        <v>123</v>
      </c>
      <c r="B28" s="25" t="s">
        <v>125</v>
      </c>
    </row>
    <row r="29" spans="1:2">
      <c r="A29" s="26" t="s">
        <v>124</v>
      </c>
      <c r="B29" s="14" t="s">
        <v>126</v>
      </c>
    </row>
    <row r="32" spans="1:2">
      <c r="A32" s="32" t="s">
        <v>127</v>
      </c>
    </row>
    <row r="33" spans="1:1" ht="29">
      <c r="A33" s="33" t="s">
        <v>128</v>
      </c>
    </row>
    <row r="34" spans="1:1" ht="43.5">
      <c r="A34" s="34" t="s">
        <v>129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8D9F2-6F4B-47C9-B519-C3C42E0B7209}">
  <dimension ref="A1:I22"/>
  <sheetViews>
    <sheetView workbookViewId="0">
      <selection activeCell="H6" sqref="H6"/>
    </sheetView>
  </sheetViews>
  <sheetFormatPr baseColWidth="10" defaultRowHeight="14.5"/>
  <cols>
    <col min="1" max="1" width="14.453125" bestFit="1" customWidth="1"/>
    <col min="2" max="2" width="13.54296875" bestFit="1" customWidth="1"/>
    <col min="3" max="3" width="8.6328125" bestFit="1" customWidth="1"/>
    <col min="4" max="4" width="20.453125" bestFit="1" customWidth="1"/>
    <col min="5" max="5" width="11.90625" bestFit="1" customWidth="1"/>
    <col min="6" max="6" width="11" bestFit="1" customWidth="1"/>
    <col min="7" max="7" width="11.36328125" bestFit="1" customWidth="1"/>
    <col min="8" max="8" width="18.08984375" bestFit="1" customWidth="1"/>
    <col min="9" max="9" width="13.54296875" style="2" bestFit="1" customWidth="1"/>
  </cols>
  <sheetData>
    <row r="1" spans="1:9">
      <c r="A1" s="35" t="s">
        <v>56</v>
      </c>
      <c r="B1" s="35" t="s">
        <v>57</v>
      </c>
      <c r="C1" s="35" t="s">
        <v>62</v>
      </c>
      <c r="D1" s="35" t="s">
        <v>61</v>
      </c>
      <c r="E1" s="35" t="s">
        <v>58</v>
      </c>
      <c r="F1" s="35" t="s">
        <v>19</v>
      </c>
      <c r="G1" s="35" t="s">
        <v>59</v>
      </c>
      <c r="H1" s="35" t="s">
        <v>60</v>
      </c>
      <c r="I1" s="36" t="s">
        <v>63</v>
      </c>
    </row>
    <row r="2" spans="1:9">
      <c r="A2" t="str">
        <f>Data_Input!A16</f>
        <v>RC1</v>
      </c>
      <c r="B2" t="str">
        <f>Data_Input!B16</f>
        <v>R1</v>
      </c>
      <c r="C2" t="str">
        <f>Data_Input!C16</f>
        <v>C1</v>
      </c>
      <c r="D2" t="str">
        <f>VLOOKUP(B2,Data_Input!$A$2:$F$6,2,FALSE)</f>
        <v>Shanghai - Pointe-Noire</v>
      </c>
      <c r="E2" t="str">
        <f>VLOOKUP(C2,Data_Input!$A$10:$C$12,2,FALSE)</f>
        <v>MAERSK</v>
      </c>
      <c r="F2">
        <f>VLOOKUP(B2,Data_Input!$A$2:$F$6,6,FALSE)</f>
        <v>38</v>
      </c>
      <c r="G2" s="3">
        <f>SUM(Data_Input!D16:I16)</f>
        <v>5688</v>
      </c>
      <c r="H2">
        <v>0</v>
      </c>
      <c r="I2" s="2">
        <f>G2*H2</f>
        <v>0</v>
      </c>
    </row>
    <row r="3" spans="1:9">
      <c r="A3" t="str">
        <f>Data_Input!A17</f>
        <v>RC2</v>
      </c>
      <c r="B3" t="str">
        <f>Data_Input!B17</f>
        <v>R1</v>
      </c>
      <c r="C3" t="str">
        <f>Data_Input!C17</f>
        <v>C2</v>
      </c>
      <c r="D3" t="str">
        <f>VLOOKUP(B3,Data_Input!$A$2:$F$6,2,FALSE)</f>
        <v>Shanghai - Pointe-Noire</v>
      </c>
      <c r="E3" t="str">
        <f>VLOOKUP(C3,Data_Input!$A$10:$C$12,2,FALSE)</f>
        <v>MSC</v>
      </c>
      <c r="F3">
        <f>VLOOKUP(B3,Data_Input!$A$2:$F$6,6,FALSE)</f>
        <v>38</v>
      </c>
      <c r="G3" s="3">
        <f>SUM(Data_Input!D17:I17)</f>
        <v>5150</v>
      </c>
      <c r="H3">
        <v>0</v>
      </c>
      <c r="I3" s="2">
        <f t="shared" ref="I3:I16" si="0">G3*H3</f>
        <v>0</v>
      </c>
    </row>
    <row r="4" spans="1:9">
      <c r="A4" t="str">
        <f>Data_Input!A18</f>
        <v>RC3</v>
      </c>
      <c r="B4" t="str">
        <f>Data_Input!B18</f>
        <v>R1</v>
      </c>
      <c r="C4" t="str">
        <f>Data_Input!C18</f>
        <v>C3</v>
      </c>
      <c r="D4" t="str">
        <f>VLOOKUP(B4,Data_Input!$A$2:$F$6,2,FALSE)</f>
        <v>Shanghai - Pointe-Noire</v>
      </c>
      <c r="E4" t="str">
        <f>VLOOKUP(C4,Data_Input!$A$10:$C$12,2,FALSE)</f>
        <v>CMA CGM</v>
      </c>
      <c r="F4">
        <f>VLOOKUP(B4,Data_Input!$A$2:$F$6,6,FALSE)</f>
        <v>38</v>
      </c>
      <c r="G4" s="3">
        <f>SUM(Data_Input!D18:I18)</f>
        <v>5013</v>
      </c>
      <c r="H4">
        <v>0</v>
      </c>
      <c r="I4" s="2">
        <f t="shared" si="0"/>
        <v>0</v>
      </c>
    </row>
    <row r="5" spans="1:9">
      <c r="A5" t="str">
        <f>Data_Input!A19</f>
        <v>RC4</v>
      </c>
      <c r="B5" t="str">
        <f>Data_Input!B19</f>
        <v>R2</v>
      </c>
      <c r="C5" t="str">
        <f>Data_Input!C19</f>
        <v>C1</v>
      </c>
      <c r="D5" t="str">
        <f>VLOOKUP(B5,Data_Input!$A$2:$F$6,2,FALSE)</f>
        <v>Shanghai - Pointe-Noire</v>
      </c>
      <c r="E5" t="str">
        <f>VLOOKUP(C5,Data_Input!$A$10:$C$12,2,FALSE)</f>
        <v>MAERSK</v>
      </c>
      <c r="F5">
        <f>VLOOKUP(B5,Data_Input!$A$2:$F$6,6,FALSE)</f>
        <v>34</v>
      </c>
      <c r="G5" s="3">
        <f>SUM(Data_Input!D19:I19)</f>
        <v>6113</v>
      </c>
      <c r="H5">
        <v>0</v>
      </c>
      <c r="I5" s="2">
        <f t="shared" si="0"/>
        <v>0</v>
      </c>
    </row>
    <row r="6" spans="1:9">
      <c r="A6" t="str">
        <f>Data_Input!A20</f>
        <v>RC5</v>
      </c>
      <c r="B6" t="str">
        <f>Data_Input!B20</f>
        <v>R2</v>
      </c>
      <c r="C6" t="str">
        <f>Data_Input!C20</f>
        <v>C2</v>
      </c>
      <c r="D6" t="str">
        <f>VLOOKUP(B6,Data_Input!$A$2:$F$6,2,FALSE)</f>
        <v>Shanghai - Pointe-Noire</v>
      </c>
      <c r="E6" t="str">
        <f>VLOOKUP(C6,Data_Input!$A$10:$C$12,2,FALSE)</f>
        <v>MSC</v>
      </c>
      <c r="F6">
        <f>VLOOKUP(B6,Data_Input!$A$2:$F$6,6,FALSE)</f>
        <v>34</v>
      </c>
      <c r="G6" s="3">
        <f>SUM(Data_Input!D20:I20)</f>
        <v>5525</v>
      </c>
      <c r="H6">
        <v>0</v>
      </c>
      <c r="I6" s="2">
        <f t="shared" si="0"/>
        <v>0</v>
      </c>
    </row>
    <row r="7" spans="1:9">
      <c r="A7" t="str">
        <f>Data_Input!A21</f>
        <v>RC6</v>
      </c>
      <c r="B7" t="str">
        <f>Data_Input!B21</f>
        <v>R2</v>
      </c>
      <c r="C7" t="str">
        <f>Data_Input!C21</f>
        <v>C3</v>
      </c>
      <c r="D7" t="str">
        <f>VLOOKUP(B7,Data_Input!$A$2:$F$6,2,FALSE)</f>
        <v>Shanghai - Pointe-Noire</v>
      </c>
      <c r="E7" t="str">
        <f>VLOOKUP(C7,Data_Input!$A$10:$C$12,2,FALSE)</f>
        <v>CMA CGM</v>
      </c>
      <c r="F7">
        <f>VLOOKUP(B7,Data_Input!$A$2:$F$6,6,FALSE)</f>
        <v>34</v>
      </c>
      <c r="G7" s="3">
        <f>SUM(Data_Input!D21:I21)</f>
        <v>5375</v>
      </c>
      <c r="H7">
        <v>0</v>
      </c>
      <c r="I7" s="2">
        <f t="shared" si="0"/>
        <v>0</v>
      </c>
    </row>
    <row r="8" spans="1:9">
      <c r="A8" t="str">
        <f>Data_Input!A22</f>
        <v>RC7</v>
      </c>
      <c r="B8" t="str">
        <f>Data_Input!B22</f>
        <v>R3</v>
      </c>
      <c r="C8" t="str">
        <f>Data_Input!C22</f>
        <v>C1</v>
      </c>
      <c r="D8" t="str">
        <f>VLOOKUP(B8,Data_Input!$A$2:$F$6,2,FALSE)</f>
        <v>Shanghai - Mombasa</v>
      </c>
      <c r="E8" t="str">
        <f>VLOOKUP(C8,Data_Input!$A$10:$C$12,2,FALSE)</f>
        <v>MAERSK</v>
      </c>
      <c r="F8">
        <f>VLOOKUP(B8,Data_Input!$A$2:$F$6,6,FALSE)</f>
        <v>30</v>
      </c>
      <c r="G8" s="3">
        <f>SUM(Data_Input!D22:I22)</f>
        <v>5080</v>
      </c>
      <c r="H8">
        <v>0</v>
      </c>
      <c r="I8" s="2">
        <f t="shared" si="0"/>
        <v>0</v>
      </c>
    </row>
    <row r="9" spans="1:9">
      <c r="A9" t="str">
        <f>Data_Input!A23</f>
        <v>RC8</v>
      </c>
      <c r="B9" t="str">
        <f>Data_Input!B23</f>
        <v>R3</v>
      </c>
      <c r="C9" t="str">
        <f>Data_Input!C23</f>
        <v>C2</v>
      </c>
      <c r="D9" t="str">
        <f>VLOOKUP(B9,Data_Input!$A$2:$F$6,2,FALSE)</f>
        <v>Shanghai - Mombasa</v>
      </c>
      <c r="E9" t="str">
        <f>VLOOKUP(C9,Data_Input!$A$10:$C$12,2,FALSE)</f>
        <v>MSC</v>
      </c>
      <c r="F9">
        <f>VLOOKUP(B9,Data_Input!$A$2:$F$6,6,FALSE)</f>
        <v>30</v>
      </c>
      <c r="G9" s="3">
        <f>SUM(Data_Input!D23:I23)</f>
        <v>4605</v>
      </c>
      <c r="H9">
        <v>0</v>
      </c>
      <c r="I9" s="2">
        <f t="shared" si="0"/>
        <v>0</v>
      </c>
    </row>
    <row r="10" spans="1:9">
      <c r="A10" t="str">
        <f>Data_Input!A24</f>
        <v>RC9</v>
      </c>
      <c r="B10" t="str">
        <f>Data_Input!B24</f>
        <v>R3</v>
      </c>
      <c r="C10" t="str">
        <f>Data_Input!C24</f>
        <v>C3</v>
      </c>
      <c r="D10" t="str">
        <f>VLOOKUP(B10,Data_Input!$A$2:$F$6,2,FALSE)</f>
        <v>Shanghai - Mombasa</v>
      </c>
      <c r="E10" t="str">
        <f>VLOOKUP(C10,Data_Input!$A$10:$C$12,2,FALSE)</f>
        <v>CMA CGM</v>
      </c>
      <c r="F10">
        <f>VLOOKUP(B10,Data_Input!$A$2:$F$6,6,FALSE)</f>
        <v>30</v>
      </c>
      <c r="G10" s="3">
        <f>SUM(Data_Input!D24:I24)</f>
        <v>4480</v>
      </c>
      <c r="H10">
        <v>0</v>
      </c>
      <c r="I10" s="2">
        <f t="shared" si="0"/>
        <v>0</v>
      </c>
    </row>
    <row r="11" spans="1:9">
      <c r="A11" t="str">
        <f>Data_Input!A25</f>
        <v>RC10</v>
      </c>
      <c r="B11" t="str">
        <f>Data_Input!B25</f>
        <v>R4</v>
      </c>
      <c r="C11" t="str">
        <f>Data_Input!C25</f>
        <v>C1</v>
      </c>
      <c r="D11" t="str">
        <f>VLOOKUP(B11,Data_Input!$A$2:$F$6,2,FALSE)</f>
        <v>Shanghai - Mombasa</v>
      </c>
      <c r="E11" t="str">
        <f>VLOOKUP(C11,Data_Input!$A$10:$C$12,2,FALSE)</f>
        <v>MAERSK</v>
      </c>
      <c r="F11">
        <f>VLOOKUP(B11,Data_Input!$A$2:$F$6,6,FALSE)</f>
        <v>35</v>
      </c>
      <c r="G11" s="3">
        <f>SUM(Data_Input!D25:I25)</f>
        <v>4668</v>
      </c>
      <c r="H11">
        <v>0</v>
      </c>
      <c r="I11" s="2">
        <f t="shared" si="0"/>
        <v>0</v>
      </c>
    </row>
    <row r="12" spans="1:9">
      <c r="A12" t="str">
        <f>Data_Input!A26</f>
        <v>RC11</v>
      </c>
      <c r="B12" t="str">
        <f>Data_Input!B26</f>
        <v>R4</v>
      </c>
      <c r="C12" t="str">
        <f>Data_Input!C26</f>
        <v>C2</v>
      </c>
      <c r="D12" t="str">
        <f>VLOOKUP(B12,Data_Input!$A$2:$F$6,2,FALSE)</f>
        <v>Shanghai - Mombasa</v>
      </c>
      <c r="E12" t="str">
        <f>VLOOKUP(C12,Data_Input!$A$10:$C$12,2,FALSE)</f>
        <v>MSC</v>
      </c>
      <c r="F12">
        <f>VLOOKUP(B12,Data_Input!$A$2:$F$6,6,FALSE)</f>
        <v>35</v>
      </c>
      <c r="G12" s="3">
        <f>SUM(Data_Input!D26:I26)</f>
        <v>4230</v>
      </c>
      <c r="H12">
        <v>0</v>
      </c>
      <c r="I12" s="2">
        <f t="shared" si="0"/>
        <v>0</v>
      </c>
    </row>
    <row r="13" spans="1:9">
      <c r="A13" t="str">
        <f>Data_Input!A27</f>
        <v>RC12</v>
      </c>
      <c r="B13" t="str">
        <f>Data_Input!B27</f>
        <v>R4</v>
      </c>
      <c r="C13" t="str">
        <f>Data_Input!C27</f>
        <v>C3</v>
      </c>
      <c r="D13" t="str">
        <f>VLOOKUP(B13,Data_Input!$A$2:$F$6,2,FALSE)</f>
        <v>Shanghai - Mombasa</v>
      </c>
      <c r="E13" t="str">
        <f>VLOOKUP(C13,Data_Input!$A$10:$C$12,2,FALSE)</f>
        <v>CMA CGM</v>
      </c>
      <c r="F13">
        <f>VLOOKUP(B13,Data_Input!$A$2:$F$6,6,FALSE)</f>
        <v>35</v>
      </c>
      <c r="G13" s="3">
        <f>SUM(Data_Input!D27:I27)</f>
        <v>4118</v>
      </c>
      <c r="H13">
        <v>300</v>
      </c>
      <c r="I13" s="2">
        <f t="shared" si="0"/>
        <v>1235400</v>
      </c>
    </row>
    <row r="14" spans="1:9">
      <c r="A14" t="str">
        <f>Data_Input!A28</f>
        <v>RC13</v>
      </c>
      <c r="B14" t="str">
        <f>Data_Input!B28</f>
        <v>R5</v>
      </c>
      <c r="C14" t="str">
        <f>Data_Input!C28</f>
        <v>C1</v>
      </c>
      <c r="D14" t="str">
        <f>VLOOKUP(B14,Data_Input!$A$2:$F$6,2,FALSE)</f>
        <v>Shanghai - Lagos</v>
      </c>
      <c r="E14" t="str">
        <f>VLOOKUP(C14,Data_Input!$A$10:$C$12,2,FALSE)</f>
        <v>MAERSK</v>
      </c>
      <c r="F14">
        <f>VLOOKUP(B14,Data_Input!$A$2:$F$6,6,FALSE)</f>
        <v>37</v>
      </c>
      <c r="G14" s="3">
        <f>SUM(Data_Input!D28:I28)</f>
        <v>5393</v>
      </c>
      <c r="H14">
        <v>0</v>
      </c>
      <c r="I14" s="2">
        <f t="shared" si="0"/>
        <v>0</v>
      </c>
    </row>
    <row r="15" spans="1:9">
      <c r="A15" t="str">
        <f>Data_Input!A29</f>
        <v>RC14</v>
      </c>
      <c r="B15" t="str">
        <f>Data_Input!B29</f>
        <v>R5</v>
      </c>
      <c r="C15" t="str">
        <f>Data_Input!C29</f>
        <v>C2</v>
      </c>
      <c r="D15" t="str">
        <f>VLOOKUP(B15,Data_Input!$A$2:$F$6,2,FALSE)</f>
        <v>Shanghai - Lagos</v>
      </c>
      <c r="E15" t="str">
        <f>VLOOKUP(C15,Data_Input!$A$10:$C$12,2,FALSE)</f>
        <v>MSC</v>
      </c>
      <c r="F15">
        <f>VLOOKUP(B15,Data_Input!$A$2:$F$6,6,FALSE)</f>
        <v>37</v>
      </c>
      <c r="G15" s="3">
        <f>SUM(Data_Input!D29:I29)</f>
        <v>4880</v>
      </c>
      <c r="H15">
        <v>0</v>
      </c>
      <c r="I15" s="2">
        <f t="shared" si="0"/>
        <v>0</v>
      </c>
    </row>
    <row r="16" spans="1:9">
      <c r="A16" t="str">
        <f>Data_Input!A30</f>
        <v>RC15</v>
      </c>
      <c r="B16" t="str">
        <f>Data_Input!B30</f>
        <v>R5</v>
      </c>
      <c r="C16" t="str">
        <f>Data_Input!C30</f>
        <v>C3</v>
      </c>
      <c r="D16" t="str">
        <f>VLOOKUP(B16,Data_Input!$A$2:$F$6,2,FALSE)</f>
        <v>Shanghai - Lagos</v>
      </c>
      <c r="E16" t="str">
        <f>VLOOKUP(C16,Data_Input!$A$10:$C$12,2,FALSE)</f>
        <v>CMA CGM</v>
      </c>
      <c r="F16">
        <f>VLOOKUP(B16,Data_Input!$A$2:$F$6,6,FALSE)</f>
        <v>37</v>
      </c>
      <c r="G16" s="3">
        <f>SUM(Data_Input!D30:I30)</f>
        <v>4755</v>
      </c>
      <c r="H16">
        <v>0</v>
      </c>
      <c r="I16" s="2">
        <f t="shared" si="0"/>
        <v>0</v>
      </c>
    </row>
    <row r="19" spans="1:2">
      <c r="A19" s="4" t="s">
        <v>67</v>
      </c>
      <c r="B19">
        <f>SUM(H2:H16)</f>
        <v>300</v>
      </c>
    </row>
    <row r="20" spans="1:2">
      <c r="A20" s="4" t="s">
        <v>63</v>
      </c>
      <c r="B20" s="2">
        <f>SUM(I2:I16)</f>
        <v>1235400</v>
      </c>
    </row>
    <row r="21" spans="1:2">
      <c r="A21" s="4" t="s">
        <v>68</v>
      </c>
      <c r="B21" t="str">
        <f>IF(B19=300,"✅ OK","❌ Corriger l'allocation")</f>
        <v>✅ OK</v>
      </c>
    </row>
    <row r="22" spans="1:2">
      <c r="A22" s="4" t="s">
        <v>69</v>
      </c>
      <c r="B22">
        <f>IF(B19=0,0,SUMPRODUCT(F2:F16,H2:H16)/B19)</f>
        <v>35</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D09E9-5E07-46FB-AFF6-FCD5C3BC9CF2}">
  <dimension ref="A1:B40"/>
  <sheetViews>
    <sheetView topLeftCell="A36" workbookViewId="0">
      <selection activeCell="C11" sqref="C11"/>
    </sheetView>
  </sheetViews>
  <sheetFormatPr baseColWidth="10" defaultRowHeight="14.5"/>
  <cols>
    <col min="1" max="1" width="25.7265625" style="5" customWidth="1"/>
    <col min="2" max="2" width="28.453125" style="5" customWidth="1"/>
    <col min="3" max="16384" width="10.90625" style="5"/>
  </cols>
  <sheetData>
    <row r="1" spans="1:2" ht="29">
      <c r="A1" s="18" t="s">
        <v>76</v>
      </c>
    </row>
    <row r="2" spans="1:2">
      <c r="A2" s="19" t="s">
        <v>64</v>
      </c>
      <c r="B2" s="8" t="s">
        <v>225</v>
      </c>
    </row>
    <row r="3" spans="1:2">
      <c r="A3" s="9" t="s">
        <v>65</v>
      </c>
      <c r="B3" s="10" t="s">
        <v>226</v>
      </c>
    </row>
    <row r="4" spans="1:2">
      <c r="A4" s="11" t="s">
        <v>77</v>
      </c>
      <c r="B4" s="12" t="s">
        <v>78</v>
      </c>
    </row>
    <row r="6" spans="1:2">
      <c r="A6" s="7" t="s">
        <v>79</v>
      </c>
      <c r="B6" s="8"/>
    </row>
    <row r="7" spans="1:2">
      <c r="A7" s="9" t="s">
        <v>80</v>
      </c>
      <c r="B7" s="10" t="s">
        <v>227</v>
      </c>
    </row>
    <row r="8" spans="1:2">
      <c r="A8" s="9" t="s">
        <v>66</v>
      </c>
      <c r="B8" s="10" t="s">
        <v>228</v>
      </c>
    </row>
    <row r="9" spans="1:2">
      <c r="A9" s="9" t="s">
        <v>81</v>
      </c>
      <c r="B9" s="10" t="s">
        <v>229</v>
      </c>
    </row>
    <row r="10" spans="1:2">
      <c r="A10" s="9" t="s">
        <v>82</v>
      </c>
      <c r="B10" s="10" t="s">
        <v>230</v>
      </c>
    </row>
    <row r="11" spans="1:2">
      <c r="A11" s="9" t="s">
        <v>83</v>
      </c>
      <c r="B11" s="10" t="s">
        <v>231</v>
      </c>
    </row>
    <row r="12" spans="1:2">
      <c r="A12" s="9" t="s">
        <v>84</v>
      </c>
      <c r="B12" s="10" t="s">
        <v>232</v>
      </c>
    </row>
    <row r="13" spans="1:2">
      <c r="A13" s="9" t="s">
        <v>85</v>
      </c>
      <c r="B13" s="10" t="s">
        <v>233</v>
      </c>
    </row>
    <row r="14" spans="1:2">
      <c r="A14" s="11" t="s">
        <v>86</v>
      </c>
      <c r="B14" s="12" t="s">
        <v>234</v>
      </c>
    </row>
    <row r="17" spans="1:2">
      <c r="A17" s="7" t="s">
        <v>87</v>
      </c>
      <c r="B17" s="8"/>
    </row>
    <row r="18" spans="1:2">
      <c r="A18" s="9" t="s">
        <v>88</v>
      </c>
      <c r="B18" s="10">
        <v>300</v>
      </c>
    </row>
    <row r="19" spans="1:2">
      <c r="A19" s="9" t="s">
        <v>89</v>
      </c>
      <c r="B19" s="13">
        <v>1328800</v>
      </c>
    </row>
    <row r="20" spans="1:2">
      <c r="A20" s="11" t="s">
        <v>69</v>
      </c>
      <c r="B20" s="14" t="s">
        <v>90</v>
      </c>
    </row>
    <row r="23" spans="1:2">
      <c r="A23" s="7" t="s">
        <v>91</v>
      </c>
      <c r="B23" s="8"/>
    </row>
    <row r="24" spans="1:2">
      <c r="A24" s="9" t="s">
        <v>92</v>
      </c>
      <c r="B24" s="10" t="s">
        <v>96</v>
      </c>
    </row>
    <row r="25" spans="1:2">
      <c r="A25" s="9" t="s">
        <v>93</v>
      </c>
      <c r="B25" s="10" t="s">
        <v>97</v>
      </c>
    </row>
    <row r="26" spans="1:2">
      <c r="A26" s="9" t="s">
        <v>94</v>
      </c>
      <c r="B26" s="10" t="s">
        <v>96</v>
      </c>
    </row>
    <row r="27" spans="1:2">
      <c r="A27" s="11" t="s">
        <v>95</v>
      </c>
      <c r="B27" s="12" t="s">
        <v>96</v>
      </c>
    </row>
    <row r="30" spans="1:2">
      <c r="A30" s="7" t="s">
        <v>98</v>
      </c>
      <c r="B30" s="8"/>
    </row>
    <row r="31" spans="1:2">
      <c r="A31" s="9" t="s">
        <v>99</v>
      </c>
      <c r="B31" s="13">
        <v>1235400</v>
      </c>
    </row>
    <row r="32" spans="1:2">
      <c r="A32" s="9" t="s">
        <v>100</v>
      </c>
      <c r="B32" s="13">
        <v>1328800</v>
      </c>
    </row>
    <row r="33" spans="1:2">
      <c r="A33" s="9" t="s">
        <v>101</v>
      </c>
      <c r="B33" s="13">
        <v>93400</v>
      </c>
    </row>
    <row r="34" spans="1:2">
      <c r="A34" s="11" t="s">
        <v>102</v>
      </c>
      <c r="B34" s="15">
        <f>(B32-B31)/B31</f>
        <v>7.5603043548648205E-2</v>
      </c>
    </row>
    <row r="37" spans="1:2">
      <c r="A37" s="7" t="s">
        <v>103</v>
      </c>
      <c r="B37" s="8"/>
    </row>
    <row r="38" spans="1:2" ht="29">
      <c r="A38" s="9" t="s">
        <v>104</v>
      </c>
      <c r="B38" s="16" t="s">
        <v>107</v>
      </c>
    </row>
    <row r="39" spans="1:2" ht="29">
      <c r="A39" s="9" t="s">
        <v>105</v>
      </c>
      <c r="B39" s="16" t="s">
        <v>108</v>
      </c>
    </row>
    <row r="40" spans="1:2" ht="29">
      <c r="A40" s="11" t="s">
        <v>106</v>
      </c>
      <c r="B40" s="17" t="s">
        <v>109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6FF8C-9B18-41C0-A350-4CE0ACB7C229}">
  <dimension ref="A1:L22"/>
  <sheetViews>
    <sheetView topLeftCell="A14" workbookViewId="0">
      <selection activeCell="E5" sqref="E5"/>
    </sheetView>
  </sheetViews>
  <sheetFormatPr baseColWidth="10" defaultRowHeight="14.5"/>
  <cols>
    <col min="1" max="1" width="14.453125" bestFit="1" customWidth="1"/>
    <col min="2" max="2" width="13.54296875" bestFit="1" customWidth="1"/>
    <col min="3" max="3" width="8.6328125" bestFit="1" customWidth="1"/>
    <col min="4" max="4" width="20.453125" bestFit="1" customWidth="1"/>
    <col min="5" max="5" width="11.90625" bestFit="1" customWidth="1"/>
    <col min="6" max="6" width="11" bestFit="1" customWidth="1"/>
    <col min="7" max="7" width="11.36328125" bestFit="1" customWidth="1"/>
    <col min="8" max="8" width="18.08984375" bestFit="1" customWidth="1"/>
    <col min="9" max="9" width="13.54296875" style="2" bestFit="1" customWidth="1"/>
    <col min="10" max="10" width="13.54296875" style="2" customWidth="1"/>
    <col min="11" max="11" width="16" bestFit="1" customWidth="1"/>
  </cols>
  <sheetData>
    <row r="1" spans="1:12">
      <c r="A1" s="35" t="s">
        <v>56</v>
      </c>
      <c r="B1" s="35" t="s">
        <v>57</v>
      </c>
      <c r="C1" s="35" t="s">
        <v>62</v>
      </c>
      <c r="D1" s="35" t="s">
        <v>61</v>
      </c>
      <c r="E1" s="35" t="s">
        <v>58</v>
      </c>
      <c r="F1" s="35" t="s">
        <v>19</v>
      </c>
      <c r="G1" s="35" t="s">
        <v>59</v>
      </c>
      <c r="H1" s="35" t="s">
        <v>60</v>
      </c>
      <c r="I1" s="36" t="s">
        <v>63</v>
      </c>
      <c r="K1" s="35" t="s">
        <v>159</v>
      </c>
      <c r="L1" s="35"/>
    </row>
    <row r="2" spans="1:12">
      <c r="A2" t="str">
        <f>Data_Input!A16</f>
        <v>RC1</v>
      </c>
      <c r="B2" t="str">
        <f>Data_Input!B16</f>
        <v>R1</v>
      </c>
      <c r="C2" t="str">
        <f>Data_Input!C16</f>
        <v>C1</v>
      </c>
      <c r="D2" t="str">
        <f>VLOOKUP(B2,Data_Input!$A$2:$F$6,2,FALSE)</f>
        <v>Shanghai - Pointe-Noire</v>
      </c>
      <c r="E2" t="str">
        <f>VLOOKUP(C2,Data_Input!$A$10:$C$12,2,FALSE)</f>
        <v>MAERSK</v>
      </c>
      <c r="F2">
        <f>VLOOKUP(B2,Data_Input!$A$2:$F$6,6,FALSE)</f>
        <v>38</v>
      </c>
      <c r="G2" s="3">
        <f>SUM(Data_Input!D16:I16)</f>
        <v>5688</v>
      </c>
      <c r="H2">
        <v>0</v>
      </c>
      <c r="I2" s="2">
        <f>G2*H2</f>
        <v>0</v>
      </c>
      <c r="K2" t="s">
        <v>70</v>
      </c>
      <c r="L2">
        <f>H2+H3+H4+H5+H6+H7</f>
        <v>50</v>
      </c>
    </row>
    <row r="3" spans="1:12">
      <c r="A3" t="str">
        <f>Data_Input!A17</f>
        <v>RC2</v>
      </c>
      <c r="B3" t="str">
        <f>Data_Input!B17</f>
        <v>R1</v>
      </c>
      <c r="C3" t="str">
        <f>Data_Input!C17</f>
        <v>C2</v>
      </c>
      <c r="D3" t="str">
        <f>VLOOKUP(B3,Data_Input!$A$2:$F$6,2,FALSE)</f>
        <v>Shanghai - Pointe-Noire</v>
      </c>
      <c r="E3" t="str">
        <f>VLOOKUP(C3,Data_Input!$A$10:$C$12,2,FALSE)</f>
        <v>MSC</v>
      </c>
      <c r="F3">
        <f>VLOOKUP(B3,Data_Input!$A$2:$F$6,6,FALSE)</f>
        <v>38</v>
      </c>
      <c r="G3" s="3">
        <f>SUM(Data_Input!D17:I17)</f>
        <v>5150</v>
      </c>
      <c r="H3">
        <v>0</v>
      </c>
      <c r="I3" s="2">
        <f t="shared" ref="I3:I16" si="0">G3*H3</f>
        <v>0</v>
      </c>
      <c r="K3" t="s">
        <v>71</v>
      </c>
      <c r="L3">
        <f>H8+H9+H10+H11+H12+H13</f>
        <v>200</v>
      </c>
    </row>
    <row r="4" spans="1:12">
      <c r="A4" t="str">
        <f>Data_Input!A18</f>
        <v>RC3</v>
      </c>
      <c r="B4" t="str">
        <f>Data_Input!B18</f>
        <v>R1</v>
      </c>
      <c r="C4" t="str">
        <f>Data_Input!C18</f>
        <v>C3</v>
      </c>
      <c r="D4" t="str">
        <f>VLOOKUP(B4,Data_Input!$A$2:$F$6,2,FALSE)</f>
        <v>Shanghai - Pointe-Noire</v>
      </c>
      <c r="E4" t="str">
        <f>VLOOKUP(C4,Data_Input!$A$10:$C$12,2,FALSE)</f>
        <v>CMA CGM</v>
      </c>
      <c r="F4">
        <f>VLOOKUP(B4,Data_Input!$A$2:$F$6,6,FALSE)</f>
        <v>38</v>
      </c>
      <c r="G4" s="3">
        <f>SUM(Data_Input!D18:I18)</f>
        <v>5013</v>
      </c>
      <c r="H4">
        <v>50</v>
      </c>
      <c r="I4" s="2">
        <f t="shared" si="0"/>
        <v>250650</v>
      </c>
      <c r="K4" t="s">
        <v>72</v>
      </c>
      <c r="L4">
        <f>H14+H15+H16</f>
        <v>50</v>
      </c>
    </row>
    <row r="5" spans="1:12">
      <c r="A5" t="str">
        <f>Data_Input!A19</f>
        <v>RC4</v>
      </c>
      <c r="B5" t="str">
        <f>Data_Input!B19</f>
        <v>R2</v>
      </c>
      <c r="C5" t="str">
        <f>Data_Input!C19</f>
        <v>C1</v>
      </c>
      <c r="D5" t="str">
        <f>VLOOKUP(B5,Data_Input!$A$2:$F$6,2,FALSE)</f>
        <v>Shanghai - Pointe-Noire</v>
      </c>
      <c r="E5" t="str">
        <f>VLOOKUP(C5,Data_Input!$A$10:$C$12,2,FALSE)</f>
        <v>MAERSK</v>
      </c>
      <c r="F5">
        <f>VLOOKUP(B5,Data_Input!$A$2:$F$6,6,FALSE)</f>
        <v>34</v>
      </c>
      <c r="G5" s="3">
        <f>SUM(Data_Input!D19:I19)</f>
        <v>6113</v>
      </c>
      <c r="H5">
        <v>0</v>
      </c>
      <c r="I5" s="2">
        <f t="shared" si="0"/>
        <v>0</v>
      </c>
      <c r="K5" t="s">
        <v>73</v>
      </c>
      <c r="L5">
        <f>H2+H5+H8+H11+H14</f>
        <v>0</v>
      </c>
    </row>
    <row r="6" spans="1:12">
      <c r="A6" t="str">
        <f>Data_Input!A20</f>
        <v>RC5</v>
      </c>
      <c r="B6" t="str">
        <f>Data_Input!B20</f>
        <v>R2</v>
      </c>
      <c r="C6" t="str">
        <f>Data_Input!C20</f>
        <v>C2</v>
      </c>
      <c r="D6" t="str">
        <f>VLOOKUP(B6,Data_Input!$A$2:$F$6,2,FALSE)</f>
        <v>Shanghai - Pointe-Noire</v>
      </c>
      <c r="E6" t="str">
        <f>VLOOKUP(C6,Data_Input!$A$10:$C$12,2,FALSE)</f>
        <v>MSC</v>
      </c>
      <c r="F6">
        <f>VLOOKUP(B6,Data_Input!$A$2:$F$6,6,FALSE)</f>
        <v>34</v>
      </c>
      <c r="G6" s="3">
        <f>SUM(Data_Input!D20:I20)</f>
        <v>5525</v>
      </c>
      <c r="H6">
        <v>0</v>
      </c>
      <c r="I6" s="2">
        <f t="shared" si="0"/>
        <v>0</v>
      </c>
      <c r="K6" t="s">
        <v>74</v>
      </c>
      <c r="L6">
        <f>H3+H6+H9+H12+H15</f>
        <v>150</v>
      </c>
    </row>
    <row r="7" spans="1:12">
      <c r="A7" t="str">
        <f>Data_Input!A21</f>
        <v>RC6</v>
      </c>
      <c r="B7" t="str">
        <f>Data_Input!B21</f>
        <v>R2</v>
      </c>
      <c r="C7" t="str">
        <f>Data_Input!C21</f>
        <v>C3</v>
      </c>
      <c r="D7" t="str">
        <f>VLOOKUP(B7,Data_Input!$A$2:$F$6,2,FALSE)</f>
        <v>Shanghai - Pointe-Noire</v>
      </c>
      <c r="E7" t="str">
        <f>VLOOKUP(C7,Data_Input!$A$10:$C$12,2,FALSE)</f>
        <v>CMA CGM</v>
      </c>
      <c r="F7">
        <f>VLOOKUP(B7,Data_Input!$A$2:$F$6,6,FALSE)</f>
        <v>34</v>
      </c>
      <c r="G7" s="3">
        <f>SUM(Data_Input!D21:I21)</f>
        <v>5375</v>
      </c>
      <c r="H7">
        <v>0</v>
      </c>
      <c r="I7" s="2">
        <f t="shared" si="0"/>
        <v>0</v>
      </c>
      <c r="K7" t="s">
        <v>75</v>
      </c>
      <c r="L7">
        <f>H4+H7+H10+H13+H16</f>
        <v>150</v>
      </c>
    </row>
    <row r="8" spans="1:12">
      <c r="A8" t="str">
        <f>Data_Input!A22</f>
        <v>RC7</v>
      </c>
      <c r="B8" t="str">
        <f>Data_Input!B22</f>
        <v>R3</v>
      </c>
      <c r="C8" t="str">
        <f>Data_Input!C22</f>
        <v>C1</v>
      </c>
      <c r="D8" t="str">
        <f>VLOOKUP(B8,Data_Input!$A$2:$F$6,2,FALSE)</f>
        <v>Shanghai - Mombasa</v>
      </c>
      <c r="E8" t="str">
        <f>VLOOKUP(C8,Data_Input!$A$10:$C$12,2,FALSE)</f>
        <v>MAERSK</v>
      </c>
      <c r="F8">
        <f>VLOOKUP(B8,Data_Input!$A$2:$F$6,6,FALSE)</f>
        <v>30</v>
      </c>
      <c r="G8" s="3">
        <f>SUM(Data_Input!D22:I22)</f>
        <v>5080</v>
      </c>
      <c r="H8">
        <v>0</v>
      </c>
      <c r="I8" s="2">
        <f t="shared" si="0"/>
        <v>0</v>
      </c>
    </row>
    <row r="9" spans="1:12">
      <c r="A9" t="str">
        <f>Data_Input!A23</f>
        <v>RC8</v>
      </c>
      <c r="B9" t="str">
        <f>Data_Input!B23</f>
        <v>R3</v>
      </c>
      <c r="C9" t="str">
        <f>Data_Input!C23</f>
        <v>C2</v>
      </c>
      <c r="D9" t="str">
        <f>VLOOKUP(B9,Data_Input!$A$2:$F$6,2,FALSE)</f>
        <v>Shanghai - Mombasa</v>
      </c>
      <c r="E9" t="str">
        <f>VLOOKUP(C9,Data_Input!$A$10:$C$12,2,FALSE)</f>
        <v>MSC</v>
      </c>
      <c r="F9">
        <f>VLOOKUP(B9,Data_Input!$A$2:$F$6,6,FALSE)</f>
        <v>30</v>
      </c>
      <c r="G9" s="3">
        <f>SUM(Data_Input!D23:I23)</f>
        <v>4605</v>
      </c>
      <c r="H9">
        <v>0</v>
      </c>
      <c r="I9" s="2">
        <f t="shared" si="0"/>
        <v>0</v>
      </c>
    </row>
    <row r="10" spans="1:12">
      <c r="A10" t="str">
        <f>Data_Input!A24</f>
        <v>RC9</v>
      </c>
      <c r="B10" t="str">
        <f>Data_Input!B24</f>
        <v>R3</v>
      </c>
      <c r="C10" t="str">
        <f>Data_Input!C24</f>
        <v>C3</v>
      </c>
      <c r="D10" t="str">
        <f>VLOOKUP(B10,Data_Input!$A$2:$F$6,2,FALSE)</f>
        <v>Shanghai - Mombasa</v>
      </c>
      <c r="E10" t="str">
        <f>VLOOKUP(C10,Data_Input!$A$10:$C$12,2,FALSE)</f>
        <v>CMA CGM</v>
      </c>
      <c r="F10">
        <f>VLOOKUP(B10,Data_Input!$A$2:$F$6,6,FALSE)</f>
        <v>30</v>
      </c>
      <c r="G10" s="3">
        <f>SUM(Data_Input!D24:I24)</f>
        <v>4480</v>
      </c>
      <c r="H10">
        <v>0</v>
      </c>
      <c r="I10" s="2">
        <f t="shared" si="0"/>
        <v>0</v>
      </c>
    </row>
    <row r="11" spans="1:12">
      <c r="A11" t="str">
        <f>Data_Input!A25</f>
        <v>RC10</v>
      </c>
      <c r="B11" t="str">
        <f>Data_Input!B25</f>
        <v>R4</v>
      </c>
      <c r="C11" t="str">
        <f>Data_Input!C25</f>
        <v>C1</v>
      </c>
      <c r="D11" t="str">
        <f>VLOOKUP(B11,Data_Input!$A$2:$F$6,2,FALSE)</f>
        <v>Shanghai - Mombasa</v>
      </c>
      <c r="E11" t="str">
        <f>VLOOKUP(C11,Data_Input!$A$10:$C$12,2,FALSE)</f>
        <v>MAERSK</v>
      </c>
      <c r="F11">
        <f>VLOOKUP(B11,Data_Input!$A$2:$F$6,6,FALSE)</f>
        <v>35</v>
      </c>
      <c r="G11" s="3">
        <f>SUM(Data_Input!D25:I25)</f>
        <v>4668</v>
      </c>
      <c r="H11">
        <v>0</v>
      </c>
      <c r="I11" s="2">
        <f t="shared" si="0"/>
        <v>0</v>
      </c>
    </row>
    <row r="12" spans="1:12">
      <c r="A12" t="str">
        <f>Data_Input!A26</f>
        <v>RC11</v>
      </c>
      <c r="B12" t="str">
        <f>Data_Input!B26</f>
        <v>R4</v>
      </c>
      <c r="C12" t="str">
        <f>Data_Input!C26</f>
        <v>C2</v>
      </c>
      <c r="D12" t="str">
        <f>VLOOKUP(B12,Data_Input!$A$2:$F$6,2,FALSE)</f>
        <v>Shanghai - Mombasa</v>
      </c>
      <c r="E12" t="str">
        <f>VLOOKUP(C12,Data_Input!$A$10:$C$12,2,FALSE)</f>
        <v>MSC</v>
      </c>
      <c r="F12">
        <f>VLOOKUP(B12,Data_Input!$A$2:$F$6,6,FALSE)</f>
        <v>35</v>
      </c>
      <c r="G12" s="3">
        <f>SUM(Data_Input!D26:I26)</f>
        <v>4230</v>
      </c>
      <c r="H12">
        <v>150</v>
      </c>
      <c r="I12" s="2">
        <f t="shared" si="0"/>
        <v>634500</v>
      </c>
    </row>
    <row r="13" spans="1:12">
      <c r="A13" t="str">
        <f>Data_Input!A27</f>
        <v>RC12</v>
      </c>
      <c r="B13" t="str">
        <f>Data_Input!B27</f>
        <v>R4</v>
      </c>
      <c r="C13" t="str">
        <f>Data_Input!C27</f>
        <v>C3</v>
      </c>
      <c r="D13" t="str">
        <f>VLOOKUP(B13,Data_Input!$A$2:$F$6,2,FALSE)</f>
        <v>Shanghai - Mombasa</v>
      </c>
      <c r="E13" t="str">
        <f>VLOOKUP(C13,Data_Input!$A$10:$C$12,2,FALSE)</f>
        <v>CMA CGM</v>
      </c>
      <c r="F13">
        <f>VLOOKUP(B13,Data_Input!$A$2:$F$6,6,FALSE)</f>
        <v>35</v>
      </c>
      <c r="G13" s="3">
        <f>SUM(Data_Input!D27:I27)</f>
        <v>4118</v>
      </c>
      <c r="H13">
        <v>50</v>
      </c>
      <c r="I13" s="2">
        <f t="shared" si="0"/>
        <v>205900</v>
      </c>
    </row>
    <row r="14" spans="1:12">
      <c r="A14" t="str">
        <f>Data_Input!A28</f>
        <v>RC13</v>
      </c>
      <c r="B14" t="str">
        <f>Data_Input!B28</f>
        <v>R5</v>
      </c>
      <c r="C14" t="str">
        <f>Data_Input!C28</f>
        <v>C1</v>
      </c>
      <c r="D14" t="str">
        <f>VLOOKUP(B14,Data_Input!$A$2:$F$6,2,FALSE)</f>
        <v>Shanghai - Lagos</v>
      </c>
      <c r="E14" t="str">
        <f>VLOOKUP(C14,Data_Input!$A$10:$C$12,2,FALSE)</f>
        <v>MAERSK</v>
      </c>
      <c r="F14">
        <f>VLOOKUP(B14,Data_Input!$A$2:$F$6,6,FALSE)</f>
        <v>37</v>
      </c>
      <c r="G14" s="3">
        <f>SUM(Data_Input!D28:I28)</f>
        <v>5393</v>
      </c>
      <c r="H14">
        <v>0</v>
      </c>
      <c r="I14" s="2">
        <f t="shared" si="0"/>
        <v>0</v>
      </c>
    </row>
    <row r="15" spans="1:12">
      <c r="A15" t="str">
        <f>Data_Input!A29</f>
        <v>RC14</v>
      </c>
      <c r="B15" t="str">
        <f>Data_Input!B29</f>
        <v>R5</v>
      </c>
      <c r="C15" t="str">
        <f>Data_Input!C29</f>
        <v>C2</v>
      </c>
      <c r="D15" t="str">
        <f>VLOOKUP(B15,Data_Input!$A$2:$F$6,2,FALSE)</f>
        <v>Shanghai - Lagos</v>
      </c>
      <c r="E15" t="str">
        <f>VLOOKUP(C15,Data_Input!$A$10:$C$12,2,FALSE)</f>
        <v>MSC</v>
      </c>
      <c r="F15">
        <f>VLOOKUP(B15,Data_Input!$A$2:$F$6,6,FALSE)</f>
        <v>37</v>
      </c>
      <c r="G15" s="3">
        <f>SUM(Data_Input!D29:I29)</f>
        <v>4880</v>
      </c>
      <c r="H15">
        <v>0</v>
      </c>
      <c r="I15" s="2">
        <f t="shared" si="0"/>
        <v>0</v>
      </c>
    </row>
    <row r="16" spans="1:12">
      <c r="A16" t="str">
        <f>Data_Input!A30</f>
        <v>RC15</v>
      </c>
      <c r="B16" t="str">
        <f>Data_Input!B30</f>
        <v>R5</v>
      </c>
      <c r="C16" t="str">
        <f>Data_Input!C30</f>
        <v>C3</v>
      </c>
      <c r="D16" t="str">
        <f>VLOOKUP(B16,Data_Input!$A$2:$F$6,2,FALSE)</f>
        <v>Shanghai - Lagos</v>
      </c>
      <c r="E16" t="str">
        <f>VLOOKUP(C16,Data_Input!$A$10:$C$12,2,FALSE)</f>
        <v>CMA CGM</v>
      </c>
      <c r="F16">
        <f>VLOOKUP(B16,Data_Input!$A$2:$F$6,6,FALSE)</f>
        <v>37</v>
      </c>
      <c r="G16" s="3">
        <f>SUM(Data_Input!D30:I30)</f>
        <v>4755</v>
      </c>
      <c r="H16">
        <v>50</v>
      </c>
      <c r="I16" s="2">
        <f t="shared" si="0"/>
        <v>237750</v>
      </c>
    </row>
    <row r="19" spans="1:2">
      <c r="A19" s="4" t="s">
        <v>67</v>
      </c>
      <c r="B19">
        <f>SUM(H2:H16)</f>
        <v>300</v>
      </c>
    </row>
    <row r="20" spans="1:2">
      <c r="A20" s="4" t="s">
        <v>63</v>
      </c>
      <c r="B20" s="2">
        <f>SUM(I2:I16)</f>
        <v>1328800</v>
      </c>
    </row>
    <row r="21" spans="1:2">
      <c r="A21" s="4" t="s">
        <v>68</v>
      </c>
      <c r="B21" t="str">
        <f>IF(B19=300,"✅ OK","❌ Corriger l'allocation")</f>
        <v>✅ OK</v>
      </c>
    </row>
    <row r="22" spans="1:2">
      <c r="A22" s="4" t="s">
        <v>69</v>
      </c>
      <c r="B22">
        <f>IF(B19=0,0,SUMPRODUCT(F2:F16,H2:H16)/B19)</f>
        <v>35.833333333333336</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9B73B-CC84-4868-8233-CC4806B91AF3}">
  <dimension ref="A1:L40"/>
  <sheetViews>
    <sheetView showGridLines="0" topLeftCell="A4" zoomScale="70" zoomScaleNormal="70" workbookViewId="0">
      <selection activeCell="R22" sqref="R22"/>
    </sheetView>
  </sheetViews>
  <sheetFormatPr baseColWidth="10" defaultRowHeight="14.5"/>
  <cols>
    <col min="1" max="13" width="10.90625" style="37"/>
    <col min="14" max="14" width="23.90625" style="37" bestFit="1" customWidth="1"/>
    <col min="15" max="15" width="13.54296875" style="37" bestFit="1" customWidth="1"/>
    <col min="16" max="16384" width="10.90625" style="37"/>
  </cols>
  <sheetData>
    <row r="1" spans="1:12">
      <c r="A1" s="46" t="s">
        <v>130</v>
      </c>
      <c r="B1" s="47"/>
      <c r="C1" s="47"/>
      <c r="D1" s="47"/>
      <c r="E1" s="47"/>
      <c r="F1" s="47"/>
      <c r="G1" s="47"/>
      <c r="H1" s="47"/>
      <c r="I1" s="47"/>
      <c r="J1" s="47"/>
      <c r="K1" s="47"/>
      <c r="L1" s="47"/>
    </row>
    <row r="2" spans="1:12">
      <c r="A2" s="47"/>
      <c r="B2" s="47"/>
      <c r="C2" s="47"/>
      <c r="D2" s="47"/>
      <c r="E2" s="47"/>
      <c r="F2" s="47"/>
      <c r="G2" s="47"/>
      <c r="H2" s="47"/>
      <c r="I2" s="47"/>
      <c r="J2" s="47"/>
      <c r="K2" s="47"/>
      <c r="L2" s="47"/>
    </row>
    <row r="3" spans="1:12">
      <c r="A3" s="47"/>
      <c r="B3" s="47"/>
      <c r="C3" s="47"/>
      <c r="D3" s="47"/>
      <c r="E3" s="47"/>
      <c r="F3" s="47"/>
      <c r="G3" s="47"/>
      <c r="H3" s="47"/>
      <c r="I3" s="47"/>
      <c r="J3" s="47"/>
      <c r="K3" s="47"/>
      <c r="L3" s="47"/>
    </row>
    <row r="5" spans="1:12">
      <c r="B5" s="48" t="s">
        <v>131</v>
      </c>
      <c r="C5" s="49"/>
      <c r="D5" s="49"/>
      <c r="F5" s="48" t="s">
        <v>132</v>
      </c>
      <c r="G5" s="49"/>
      <c r="H5" s="49"/>
      <c r="J5" s="48" t="s">
        <v>133</v>
      </c>
      <c r="K5" s="49"/>
      <c r="L5" s="49"/>
    </row>
    <row r="6" spans="1:12">
      <c r="B6" s="49"/>
      <c r="C6" s="49"/>
      <c r="D6" s="49"/>
      <c r="F6" s="49"/>
      <c r="G6" s="49"/>
      <c r="H6" s="49"/>
      <c r="J6" s="49"/>
      <c r="K6" s="49"/>
      <c r="L6" s="49"/>
    </row>
    <row r="7" spans="1:12">
      <c r="B7" s="49"/>
      <c r="C7" s="49"/>
      <c r="D7" s="49"/>
      <c r="F7" s="49"/>
      <c r="G7" s="49"/>
      <c r="H7" s="49"/>
      <c r="J7" s="49"/>
      <c r="K7" s="49"/>
      <c r="L7" s="49"/>
    </row>
    <row r="8" spans="1:12">
      <c r="B8" s="49"/>
      <c r="C8" s="49"/>
      <c r="D8" s="49"/>
      <c r="F8" s="49"/>
      <c r="G8" s="49"/>
      <c r="H8" s="49"/>
      <c r="J8" s="49"/>
      <c r="K8" s="49"/>
      <c r="L8" s="49"/>
    </row>
    <row r="40" spans="3:3">
      <c r="C40" s="37" t="s">
        <v>161</v>
      </c>
    </row>
  </sheetData>
  <mergeCells count="4">
    <mergeCell ref="A1:L3"/>
    <mergeCell ref="B5:D8"/>
    <mergeCell ref="F5:H8"/>
    <mergeCell ref="J5:L8"/>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55D63-E63D-42E6-9247-E26897E0042A}">
  <dimension ref="A1:B26"/>
  <sheetViews>
    <sheetView workbookViewId="0">
      <selection activeCell="E14" sqref="E14"/>
    </sheetView>
  </sheetViews>
  <sheetFormatPr baseColWidth="10" defaultRowHeight="14.5"/>
  <cols>
    <col min="1" max="1" width="23.90625" style="37" bestFit="1" customWidth="1"/>
    <col min="2" max="2" width="13.54296875" style="37" bestFit="1" customWidth="1"/>
    <col min="3" max="16384" width="10.90625" style="37"/>
  </cols>
  <sheetData>
    <row r="1" spans="1:2">
      <c r="A1" s="38" t="s">
        <v>134</v>
      </c>
      <c r="B1" s="38" t="s">
        <v>59</v>
      </c>
    </row>
    <row r="2" spans="1:2">
      <c r="A2" s="37" t="s">
        <v>135</v>
      </c>
      <c r="B2" s="40">
        <v>5688</v>
      </c>
    </row>
    <row r="3" spans="1:2">
      <c r="A3" s="37" t="s">
        <v>136</v>
      </c>
      <c r="B3" s="40">
        <v>5150</v>
      </c>
    </row>
    <row r="4" spans="1:2">
      <c r="A4" s="37" t="s">
        <v>137</v>
      </c>
      <c r="B4" s="40">
        <v>5013</v>
      </c>
    </row>
    <row r="5" spans="1:2">
      <c r="A5" s="37" t="s">
        <v>138</v>
      </c>
      <c r="B5" s="40">
        <v>6113</v>
      </c>
    </row>
    <row r="6" spans="1:2">
      <c r="A6" s="37" t="s">
        <v>139</v>
      </c>
      <c r="B6" s="40">
        <v>5525</v>
      </c>
    </row>
    <row r="7" spans="1:2">
      <c r="A7" s="37" t="s">
        <v>140</v>
      </c>
      <c r="B7" s="40">
        <v>5375</v>
      </c>
    </row>
    <row r="8" spans="1:2">
      <c r="A8" s="37" t="s">
        <v>141</v>
      </c>
      <c r="B8" s="40">
        <v>5080</v>
      </c>
    </row>
    <row r="9" spans="1:2">
      <c r="A9" s="37" t="s">
        <v>142</v>
      </c>
      <c r="B9" s="40">
        <v>4605</v>
      </c>
    </row>
    <row r="10" spans="1:2">
      <c r="A10" s="37" t="s">
        <v>143</v>
      </c>
      <c r="B10" s="40">
        <v>4480</v>
      </c>
    </row>
    <row r="11" spans="1:2">
      <c r="A11" s="37" t="s">
        <v>144</v>
      </c>
      <c r="B11" s="40">
        <v>4668</v>
      </c>
    </row>
    <row r="12" spans="1:2">
      <c r="A12" s="37" t="s">
        <v>145</v>
      </c>
      <c r="B12" s="40">
        <v>4230</v>
      </c>
    </row>
    <row r="13" spans="1:2">
      <c r="A13" s="37" t="s">
        <v>146</v>
      </c>
      <c r="B13" s="40">
        <v>4118</v>
      </c>
    </row>
    <row r="14" spans="1:2">
      <c r="A14" s="37" t="s">
        <v>147</v>
      </c>
      <c r="B14" s="40">
        <v>5393</v>
      </c>
    </row>
    <row r="15" spans="1:2">
      <c r="A15" s="37" t="s">
        <v>148</v>
      </c>
      <c r="B15" s="40">
        <v>4880</v>
      </c>
    </row>
    <row r="16" spans="1:2">
      <c r="A16" s="37" t="s">
        <v>149</v>
      </c>
      <c r="B16" s="40">
        <v>4755</v>
      </c>
    </row>
    <row r="18" spans="1:2">
      <c r="A18" s="38" t="s">
        <v>3</v>
      </c>
      <c r="B18" s="39" t="s">
        <v>150</v>
      </c>
    </row>
    <row r="19" spans="1:2">
      <c r="A19" s="37" t="s">
        <v>10</v>
      </c>
      <c r="B19" s="37">
        <v>50</v>
      </c>
    </row>
    <row r="20" spans="1:2">
      <c r="A20" s="37" t="s">
        <v>11</v>
      </c>
      <c r="B20" s="37">
        <v>200</v>
      </c>
    </row>
    <row r="21" spans="1:2">
      <c r="A21" s="37" t="s">
        <v>12</v>
      </c>
      <c r="B21" s="37">
        <v>50</v>
      </c>
    </row>
    <row r="24" spans="1:2">
      <c r="A24" s="38" t="s">
        <v>151</v>
      </c>
      <c r="B24" s="39" t="s">
        <v>63</v>
      </c>
    </row>
    <row r="25" spans="1:2">
      <c r="A25" s="37" t="s">
        <v>152</v>
      </c>
      <c r="B25" s="40">
        <v>1235400</v>
      </c>
    </row>
    <row r="26" spans="1:2">
      <c r="A26" s="37" t="s">
        <v>153</v>
      </c>
      <c r="B26" s="40">
        <v>1328800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938B0-8591-4A89-905A-98E0DBE30DEF}">
  <dimension ref="A1:A80"/>
  <sheetViews>
    <sheetView tabSelected="1" workbookViewId="0">
      <selection activeCell="A7" sqref="A7"/>
    </sheetView>
  </sheetViews>
  <sheetFormatPr baseColWidth="10" defaultRowHeight="14.5"/>
  <cols>
    <col min="1" max="1" width="59" style="41" bestFit="1" customWidth="1"/>
    <col min="2" max="16384" width="10.90625" style="41"/>
  </cols>
  <sheetData>
    <row r="1" spans="1:1">
      <c r="A1" s="42" t="s">
        <v>220</v>
      </c>
    </row>
    <row r="2" spans="1:1">
      <c r="A2" s="42" t="s">
        <v>154</v>
      </c>
    </row>
    <row r="3" spans="1:1">
      <c r="A3" s="45"/>
    </row>
    <row r="5" spans="1:1">
      <c r="A5" s="42" t="s">
        <v>162</v>
      </c>
    </row>
    <row r="6" spans="1:1" ht="29">
      <c r="A6" s="41" t="s">
        <v>163</v>
      </c>
    </row>
    <row r="7" spans="1:1" ht="87">
      <c r="A7" s="41" t="s">
        <v>164</v>
      </c>
    </row>
    <row r="8" spans="1:1" ht="43.5">
      <c r="A8" s="41" t="s">
        <v>165</v>
      </c>
    </row>
    <row r="9" spans="1:1" ht="43.5">
      <c r="A9" s="41" t="s">
        <v>166</v>
      </c>
    </row>
    <row r="10" spans="1:1">
      <c r="A10" s="41" t="s">
        <v>167</v>
      </c>
    </row>
    <row r="12" spans="1:1">
      <c r="A12" s="42" t="s">
        <v>155</v>
      </c>
    </row>
    <row r="13" spans="1:1" ht="43.5">
      <c r="A13" s="41" t="s">
        <v>168</v>
      </c>
    </row>
    <row r="14" spans="1:1" ht="58">
      <c r="A14" s="41" t="s">
        <v>169</v>
      </c>
    </row>
    <row r="15" spans="1:1" ht="58">
      <c r="A15" s="41" t="s">
        <v>170</v>
      </c>
    </row>
    <row r="16" spans="1:1" ht="43.5">
      <c r="A16" s="41" t="s">
        <v>171</v>
      </c>
    </row>
    <row r="17" spans="1:1" ht="58">
      <c r="A17" s="41" t="s">
        <v>172</v>
      </c>
    </row>
    <row r="18" spans="1:1" ht="29">
      <c r="A18" s="41" t="s">
        <v>173</v>
      </c>
    </row>
    <row r="20" spans="1:1">
      <c r="A20" s="42" t="s">
        <v>156</v>
      </c>
    </row>
    <row r="21" spans="1:1" ht="29">
      <c r="A21" s="43" t="s">
        <v>174</v>
      </c>
    </row>
    <row r="22" spans="1:1" ht="58">
      <c r="A22" s="41" t="s">
        <v>175</v>
      </c>
    </row>
    <row r="23" spans="1:1" ht="58">
      <c r="A23" s="41" t="s">
        <v>176</v>
      </c>
    </row>
    <row r="25" spans="1:1" ht="29">
      <c r="A25" s="43" t="s">
        <v>177</v>
      </c>
    </row>
    <row r="26" spans="1:1" ht="43.5">
      <c r="A26" s="41" t="s">
        <v>178</v>
      </c>
    </row>
    <row r="27" spans="1:1" ht="72.5">
      <c r="A27" s="41" t="s">
        <v>179</v>
      </c>
    </row>
    <row r="29" spans="1:1" ht="29">
      <c r="A29" s="43" t="s">
        <v>180</v>
      </c>
    </row>
    <row r="30" spans="1:1" ht="43.5">
      <c r="A30" s="41" t="s">
        <v>181</v>
      </c>
    </row>
    <row r="31" spans="1:1" ht="58">
      <c r="A31" s="41" t="s">
        <v>182</v>
      </c>
    </row>
    <row r="32" spans="1:1" ht="43.5">
      <c r="A32" s="41" t="s">
        <v>183</v>
      </c>
    </row>
    <row r="34" spans="1:1" ht="29">
      <c r="A34" s="43" t="s">
        <v>184</v>
      </c>
    </row>
    <row r="35" spans="1:1" ht="43.5">
      <c r="A35" s="41" t="s">
        <v>185</v>
      </c>
    </row>
    <row r="36" spans="1:1" ht="58">
      <c r="A36" s="41" t="s">
        <v>186</v>
      </c>
    </row>
    <row r="38" spans="1:1" ht="29">
      <c r="A38" s="43" t="s">
        <v>187</v>
      </c>
    </row>
    <row r="39" spans="1:1" ht="43.5">
      <c r="A39" s="41" t="s">
        <v>188</v>
      </c>
    </row>
    <row r="40" spans="1:1" ht="58">
      <c r="A40" s="41" t="s">
        <v>189</v>
      </c>
    </row>
    <row r="41" spans="1:1" ht="29">
      <c r="A41" s="41" t="s">
        <v>190</v>
      </c>
    </row>
    <row r="43" spans="1:1" ht="43.5">
      <c r="A43" s="43" t="s">
        <v>191</v>
      </c>
    </row>
    <row r="44" spans="1:1" ht="87">
      <c r="A44" s="41" t="s">
        <v>192</v>
      </c>
    </row>
    <row r="45" spans="1:1" ht="58">
      <c r="A45" s="41" t="s">
        <v>193</v>
      </c>
    </row>
    <row r="46" spans="1:1" ht="43.5">
      <c r="A46" s="41" t="s">
        <v>194</v>
      </c>
    </row>
    <row r="48" spans="1:1" ht="29">
      <c r="A48" s="43" t="s">
        <v>195</v>
      </c>
    </row>
    <row r="49" spans="1:1" ht="87">
      <c r="A49" s="41" t="s">
        <v>196</v>
      </c>
    </row>
    <row r="50" spans="1:1" ht="58">
      <c r="A50" s="41" t="s">
        <v>197</v>
      </c>
    </row>
    <row r="51" spans="1:1" ht="29">
      <c r="A51" s="41" t="s">
        <v>198</v>
      </c>
    </row>
    <row r="53" spans="1:1">
      <c r="A53" s="42" t="s">
        <v>157</v>
      </c>
    </row>
    <row r="54" spans="1:1" ht="29">
      <c r="A54" s="43" t="s">
        <v>199</v>
      </c>
    </row>
    <row r="55" spans="1:1" ht="72.5">
      <c r="A55" s="41" t="s">
        <v>200</v>
      </c>
    </row>
    <row r="57" spans="1:1">
      <c r="A57" s="43" t="s">
        <v>201</v>
      </c>
    </row>
    <row r="58" spans="1:1" ht="58">
      <c r="A58" s="41" t="s">
        <v>202</v>
      </c>
    </row>
    <row r="60" spans="1:1" ht="29">
      <c r="A60" s="43" t="s">
        <v>203</v>
      </c>
    </row>
    <row r="61" spans="1:1" ht="58">
      <c r="A61" s="41" t="s">
        <v>204</v>
      </c>
    </row>
    <row r="63" spans="1:1">
      <c r="A63" s="43" t="s">
        <v>205</v>
      </c>
    </row>
    <row r="64" spans="1:1" ht="87">
      <c r="A64" s="41" t="s">
        <v>206</v>
      </c>
    </row>
    <row r="66" spans="1:1">
      <c r="A66" s="44" t="s">
        <v>158</v>
      </c>
    </row>
    <row r="67" spans="1:1" ht="29">
      <c r="A67" s="41" t="s">
        <v>207</v>
      </c>
    </row>
    <row r="68" spans="1:1" ht="43.5">
      <c r="A68" s="41" t="s">
        <v>208</v>
      </c>
    </row>
    <row r="69" spans="1:1" ht="29">
      <c r="A69" s="41" t="s">
        <v>209</v>
      </c>
    </row>
    <row r="70" spans="1:1" ht="43.5">
      <c r="A70" s="41" t="s">
        <v>210</v>
      </c>
    </row>
    <row r="71" spans="1:1" ht="43.5">
      <c r="A71" s="41" t="s">
        <v>211</v>
      </c>
    </row>
    <row r="72" spans="1:1" ht="29">
      <c r="A72" s="41" t="s">
        <v>212</v>
      </c>
    </row>
    <row r="73" spans="1:1" ht="43.5">
      <c r="A73" s="41" t="s">
        <v>213</v>
      </c>
    </row>
    <row r="75" spans="1:1">
      <c r="A75" s="44" t="s">
        <v>214</v>
      </c>
    </row>
    <row r="76" spans="1:1">
      <c r="A76" s="41" t="s">
        <v>215</v>
      </c>
    </row>
    <row r="77" spans="1:1" ht="29">
      <c r="A77" s="41" t="s">
        <v>216</v>
      </c>
    </row>
    <row r="78" spans="1:1" ht="29">
      <c r="A78" s="41" t="s">
        <v>217</v>
      </c>
    </row>
    <row r="79" spans="1:1" ht="29">
      <c r="A79" s="41" t="s">
        <v>218</v>
      </c>
    </row>
    <row r="80" spans="1:1" ht="29">
      <c r="A80" s="41" t="s">
        <v>219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E4E2C-D65B-4AEC-86B3-52FFAA7E98A1}">
  <dimension ref="A1:A8"/>
  <sheetViews>
    <sheetView workbookViewId="0">
      <selection activeCell="A8" sqref="A8"/>
    </sheetView>
  </sheetViews>
  <sheetFormatPr baseColWidth="10" defaultRowHeight="14.5"/>
  <cols>
    <col min="1" max="1" width="109.6328125" style="37" bestFit="1" customWidth="1"/>
    <col min="2" max="16384" width="10.90625" style="37"/>
  </cols>
  <sheetData>
    <row r="1" spans="1:1">
      <c r="A1" s="37" t="s">
        <v>53</v>
      </c>
    </row>
    <row r="2" spans="1:1">
      <c r="A2" s="37" t="s">
        <v>54</v>
      </c>
    </row>
    <row r="3" spans="1:1">
      <c r="A3" s="37" t="s">
        <v>55</v>
      </c>
    </row>
    <row r="4" spans="1:1">
      <c r="A4" t="s">
        <v>235</v>
      </c>
    </row>
    <row r="5" spans="1:1">
      <c r="A5" t="s">
        <v>236</v>
      </c>
    </row>
    <row r="6" spans="1:1">
      <c r="A6" t="s">
        <v>237</v>
      </c>
    </row>
    <row r="7" spans="1:1">
      <c r="A7" t="s">
        <v>238</v>
      </c>
    </row>
    <row r="8" spans="1:1">
      <c r="A8" t="s">
        <v>239</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Data_Input</vt:lpstr>
      <vt:lpstr>Solver_v1</vt:lpstr>
      <vt:lpstr>Cost_Calculator_v1</vt:lpstr>
      <vt:lpstr>Solver_v2</vt:lpstr>
      <vt:lpstr>Cost_Calculator_v2</vt:lpstr>
      <vt:lpstr>Dashboard</vt:lpstr>
      <vt:lpstr>Charts_Data</vt:lpstr>
      <vt:lpstr>Insights</vt:lpstr>
      <vt:lpstr>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official compt</dc:creator>
  <cp:lastModifiedBy>official compt</cp:lastModifiedBy>
  <dcterms:created xsi:type="dcterms:W3CDTF">2026-05-27T20:15:18Z</dcterms:created>
  <dcterms:modified xsi:type="dcterms:W3CDTF">2026-07-15T21:19:08Z</dcterms:modified>
</cp:coreProperties>
</file>